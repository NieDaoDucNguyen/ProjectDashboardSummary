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UDE COWORK\2 . Mau-Template\5.ChiTietChiPhiDuAn\"/>
    </mc:Choice>
  </mc:AlternateContent>
  <xr:revisionPtr revIDLastSave="0" documentId="13_ncr:1_{D659A41D-B8A6-4E86-AE02-9297521E642F}" xr6:coauthVersionLast="47" xr6:coauthVersionMax="47" xr10:uidLastSave="{00000000-0000-0000-0000-000000000000}"/>
  <bookViews>
    <workbookView xWindow="-108" yWindow="-108" windowWidth="23256" windowHeight="13896" xr2:uid="{00000000-000D-0000-FFFF-FFFF00000000}"/>
  </bookViews>
  <sheets>
    <sheet name="BCTC_LHA" sheetId="17" r:id="rId1"/>
    <sheet name="LHA_ChiPhiDuAn-Overhead" sheetId="16" r:id="rId2"/>
    <sheet name="CP_VP-Overhead" sheetId="19" r:id="rId3"/>
    <sheet name="QuyDoiPhanMemVeDuAn" sheetId="20" r:id="rId4"/>
  </sheets>
  <definedNames>
    <definedName name="_xlnm.Print_Area" localSheetId="0">BCTC_LHA!$A$1:$J$48</definedName>
    <definedName name="_xlnm.Print_Area" localSheetId="2">'CP_VP-Overhead'!$A$1:$H$44</definedName>
    <definedName name="_xlnm.Print_Area" localSheetId="1">'LHA_ChiPhiDuAn-Overhead'!$A$1:$R$19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7" l="1"/>
  <c r="I27" i="17"/>
  <c r="C31" i="17"/>
  <c r="E7" i="17"/>
  <c r="H18" i="17"/>
  <c r="H17" i="17"/>
  <c r="P12" i="16"/>
  <c r="P11" i="16"/>
  <c r="P10" i="16"/>
  <c r="O11" i="16"/>
  <c r="Q11" i="16" s="1"/>
  <c r="O10" i="16"/>
  <c r="Q10" i="16" s="1"/>
  <c r="H16" i="17"/>
  <c r="C7" i="17"/>
  <c r="H19" i="17" l="1"/>
  <c r="P19" i="16" l="1"/>
  <c r="L11" i="20"/>
  <c r="L10" i="20"/>
  <c r="L9" i="20"/>
  <c r="F9" i="20"/>
  <c r="E9" i="20"/>
  <c r="D9" i="20"/>
  <c r="B9" i="20"/>
  <c r="L8" i="20"/>
  <c r="L12" i="20" s="1"/>
  <c r="B10" i="20" s="1"/>
  <c r="C11" i="20" s="1"/>
  <c r="G41" i="19"/>
  <c r="G40" i="19"/>
  <c r="K40" i="19" s="1"/>
  <c r="K39" i="19"/>
  <c r="J39" i="19"/>
  <c r="G39" i="19"/>
  <c r="G38" i="19"/>
  <c r="G37" i="19"/>
  <c r="L36" i="19"/>
  <c r="K36" i="19"/>
  <c r="J36" i="19"/>
  <c r="G36" i="19"/>
  <c r="G35" i="19"/>
  <c r="L35" i="19" s="1"/>
  <c r="G34" i="19"/>
  <c r="L34" i="19" s="1"/>
  <c r="L33" i="19"/>
  <c r="K33" i="19"/>
  <c r="J33" i="19"/>
  <c r="G33" i="19"/>
  <c r="G32" i="19"/>
  <c r="G31" i="19"/>
  <c r="F30" i="19"/>
  <c r="G30" i="19" s="1"/>
  <c r="F29" i="19"/>
  <c r="G29" i="19" s="1"/>
  <c r="F28" i="19"/>
  <c r="G28" i="19" s="1"/>
  <c r="L26" i="19"/>
  <c r="K26" i="19"/>
  <c r="J26" i="19"/>
  <c r="G26" i="19"/>
  <c r="L24" i="19"/>
  <c r="G24" i="19"/>
  <c r="L23" i="19"/>
  <c r="J23" i="19"/>
  <c r="G23" i="19"/>
  <c r="L22" i="19"/>
  <c r="K22" i="19"/>
  <c r="J22" i="19"/>
  <c r="G22" i="19"/>
  <c r="L21" i="19"/>
  <c r="K21" i="19"/>
  <c r="J21" i="19"/>
  <c r="G21" i="19"/>
  <c r="L20" i="19"/>
  <c r="K20" i="19"/>
  <c r="J20" i="19"/>
  <c r="G20" i="19"/>
  <c r="L19" i="19"/>
  <c r="K19" i="19"/>
  <c r="J19" i="19"/>
  <c r="G19" i="19"/>
  <c r="L18" i="19"/>
  <c r="K18" i="19"/>
  <c r="J18" i="19"/>
  <c r="G18" i="19"/>
  <c r="L17" i="19"/>
  <c r="L16" i="19" s="1"/>
  <c r="K17" i="19"/>
  <c r="K16" i="19" s="1"/>
  <c r="J17" i="19"/>
  <c r="J16" i="19" s="1"/>
  <c r="G17" i="19"/>
  <c r="G16" i="19" s="1"/>
  <c r="L15" i="19"/>
  <c r="J15" i="19"/>
  <c r="G15" i="19"/>
  <c r="L14" i="19"/>
  <c r="K14" i="19"/>
  <c r="J14" i="19"/>
  <c r="G14" i="19"/>
  <c r="L13" i="19"/>
  <c r="K13" i="19"/>
  <c r="J13" i="19"/>
  <c r="J9" i="19" s="1"/>
  <c r="G13" i="19"/>
  <c r="L12" i="19"/>
  <c r="K12" i="19"/>
  <c r="G12" i="19"/>
  <c r="G9" i="19" s="1"/>
  <c r="L11" i="19"/>
  <c r="L9" i="19" s="1"/>
  <c r="K11" i="19"/>
  <c r="J11" i="19"/>
  <c r="G11" i="19"/>
  <c r="L10" i="19"/>
  <c r="K10" i="19"/>
  <c r="K9" i="19" s="1"/>
  <c r="J10" i="19"/>
  <c r="G10" i="19"/>
  <c r="K8" i="19"/>
  <c r="F8" i="19"/>
  <c r="J8" i="19" s="1"/>
  <c r="L7" i="19"/>
  <c r="K7" i="19"/>
  <c r="K5" i="19" s="1"/>
  <c r="J7" i="19"/>
  <c r="G7" i="19"/>
  <c r="F7" i="19"/>
  <c r="L6" i="19"/>
  <c r="K6" i="19"/>
  <c r="J6" i="19"/>
  <c r="G6" i="19"/>
  <c r="F11" i="20" l="1"/>
  <c r="E11" i="20"/>
  <c r="D11" i="20"/>
  <c r="B11" i="20"/>
  <c r="J5" i="19"/>
  <c r="L8" i="19"/>
  <c r="L5" i="19" s="1"/>
  <c r="G8" i="19"/>
  <c r="G5" i="19" s="1"/>
  <c r="F27" i="19"/>
  <c r="K27" i="19" l="1"/>
  <c r="K25" i="19" s="1"/>
  <c r="K42" i="19" s="1"/>
  <c r="J27" i="19"/>
  <c r="J25" i="19" s="1"/>
  <c r="G27" i="19"/>
  <c r="G25" i="19" s="1"/>
  <c r="G42" i="19" s="1"/>
  <c r="G44" i="19" s="1"/>
  <c r="L27" i="19"/>
  <c r="L25" i="19" s="1"/>
  <c r="L42" i="19" s="1"/>
  <c r="J42" i="19"/>
  <c r="F42" i="19"/>
  <c r="F44" i="19" s="1"/>
  <c r="L44" i="19" l="1"/>
  <c r="L46" i="19"/>
  <c r="J46" i="19"/>
  <c r="J44" i="19"/>
  <c r="K46" i="19"/>
  <c r="K44" i="19"/>
  <c r="H10" i="17" l="1"/>
  <c r="P9" i="16"/>
  <c r="P8" i="16"/>
  <c r="P7" i="16"/>
  <c r="O9" i="16" l="1"/>
  <c r="O12" i="16"/>
  <c r="I26" i="17"/>
  <c r="H26" i="17"/>
  <c r="I21" i="17"/>
  <c r="H21" i="17"/>
  <c r="E21" i="17"/>
  <c r="Q17" i="16"/>
  <c r="Q16" i="16"/>
  <c r="Q14" i="16"/>
  <c r="O8" i="16"/>
  <c r="O7" i="16"/>
  <c r="H20" i="17" l="1"/>
  <c r="Q9" i="16"/>
  <c r="O19" i="16"/>
  <c r="Q19" i="16" s="1"/>
  <c r="Q18" i="16" s="1"/>
  <c r="E27" i="17" s="1"/>
  <c r="Q15" i="16"/>
  <c r="Q12" i="16"/>
  <c r="Q8" i="16"/>
  <c r="Q7" i="16"/>
  <c r="Q6" i="16" l="1"/>
  <c r="E24" i="17" l="1"/>
  <c r="I23" i="17"/>
  <c r="E26" i="17"/>
  <c r="E23" i="17" l="1"/>
  <c r="H14" i="17" l="1"/>
  <c r="H12" i="17"/>
  <c r="H13" i="17"/>
  <c r="H15" i="17"/>
  <c r="H11" i="17"/>
  <c r="H9" i="17"/>
  <c r="E28" i="17"/>
  <c r="E29" i="17" s="1"/>
  <c r="H8" i="17"/>
  <c r="I8" i="17" s="1"/>
  <c r="E20" i="17" l="1"/>
  <c r="E32" i="17" s="1"/>
  <c r="H7" i="17"/>
  <c r="E31" i="17"/>
  <c r="E30" i="17"/>
  <c r="I30" i="17" s="1"/>
  <c r="I28" i="17" l="1"/>
  <c r="I20" i="17" s="1"/>
  <c r="E34" i="17"/>
  <c r="E37" i="17" s="1"/>
  <c r="I7" i="17"/>
  <c r="E33" i="17"/>
  <c r="I32" i="17" l="1"/>
  <c r="I33" i="17" s="1"/>
  <c r="E35" i="17"/>
  <c r="E39" i="17"/>
  <c r="E38" i="17"/>
  <c r="E36" i="17"/>
  <c r="E41" i="17"/>
  <c r="E42" i="17" s="1"/>
  <c r="I34" i="17" l="1"/>
  <c r="I41" i="17" s="1"/>
  <c r="I42"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P4" authorId="0" shapeId="0" xr:uid="{65C55819-CAE8-46DD-B070-974EBB400E27}">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F4" authorId="0" shapeId="0" xr:uid="{2B1330EF-818F-4291-AC15-F0D1B4D00FB1}">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sharedStrings.xml><?xml version="1.0" encoding="utf-8"?>
<sst xmlns="http://schemas.openxmlformats.org/spreadsheetml/2006/main" count="239" uniqueCount="201">
  <si>
    <t>Mã đối tượng</t>
  </si>
  <si>
    <t>Tên công việc/ hạng mục</t>
  </si>
  <si>
    <t>Ghi chú</t>
  </si>
  <si>
    <t>Tạm ứng</t>
  </si>
  <si>
    <t>STT</t>
  </si>
  <si>
    <t>Lương, thưởng, phụ cấp ( bao gồm  BHXH,YT,TN,KPCD)</t>
  </si>
  <si>
    <t>III. PHÊ DUYỆT</t>
  </si>
  <si>
    <t>ngày … tháng … năm ...</t>
  </si>
  <si>
    <t>DOANH THU</t>
  </si>
  <si>
    <t>A</t>
  </si>
  <si>
    <t>B</t>
  </si>
  <si>
    <t>B1</t>
  </si>
  <si>
    <t>B3</t>
  </si>
  <si>
    <t>CHI PHÍ</t>
  </si>
  <si>
    <t>CHI PHÍ NHÀ THẦU PHỤ, NHÀ CUNG CẤP</t>
  </si>
  <si>
    <t>CHI PHÍ TIỀN LƯƠNG, THƯỞNG, PHỤ CẤP</t>
  </si>
  <si>
    <t>B3.1</t>
  </si>
  <si>
    <t>B4</t>
  </si>
  <si>
    <t xml:space="preserve">CHI PHÍ QLTK/ CP PHÂN BỔ KHÁC </t>
  </si>
  <si>
    <t>CHI PHÍ DỰ PHÒNG</t>
  </si>
  <si>
    <t>C</t>
  </si>
  <si>
    <t>D</t>
  </si>
  <si>
    <t>LỢI NHUẬN</t>
  </si>
  <si>
    <t>Giá trị HĐ 
(chưa VAT)</t>
  </si>
  <si>
    <t>Hoàn trả tạm ứng</t>
  </si>
  <si>
    <t>Thu/chi thực tế
(bao gồm VAT)</t>
  </si>
  <si>
    <t>Giá trị dự kiến theo HĐ
(bao gồm VAT)</t>
  </si>
  <si>
    <t>CHI PHÍ NHÂN SỰ VÀ HEADOFFICE</t>
  </si>
  <si>
    <t>DIỄN GIẢI</t>
  </si>
  <si>
    <t>TKCS</t>
  </si>
  <si>
    <t>TKKT</t>
  </si>
  <si>
    <t>GSTG</t>
  </si>
  <si>
    <r>
      <t xml:space="preserve">THỜI GIAN
</t>
    </r>
    <r>
      <rPr>
        <sz val="11"/>
        <color theme="1"/>
        <rFont val="Calibri"/>
        <family val="2"/>
        <scheme val="minor"/>
      </rPr>
      <t>(1ns/tháng)</t>
    </r>
  </si>
  <si>
    <r>
      <t xml:space="preserve">CHI PHÍ 
</t>
    </r>
    <r>
      <rPr>
        <sz val="11"/>
        <color theme="1"/>
        <rFont val="Calibri"/>
        <family val="2"/>
        <scheme val="minor"/>
      </rPr>
      <t>(/tháng)</t>
    </r>
  </si>
  <si>
    <r>
      <t xml:space="preserve">THÀNH TIỀN
</t>
    </r>
    <r>
      <rPr>
        <sz val="11"/>
        <color theme="1"/>
        <rFont val="Calibri"/>
        <family val="2"/>
        <scheme val="minor"/>
      </rPr>
      <t>(VNĐ)</t>
    </r>
  </si>
  <si>
    <t>GHI CHÚ</t>
  </si>
  <si>
    <t>THỜI GIAN
(T)</t>
  </si>
  <si>
    <t>HỆ SỐ TG</t>
  </si>
  <si>
    <t>SL NHÂN SỰ</t>
  </si>
  <si>
    <t>I</t>
  </si>
  <si>
    <t>CHI PHÍ NHÂN SỰ TRỰC TIẾP</t>
  </si>
  <si>
    <t>II</t>
  </si>
  <si>
    <t>CHI PHÍ IN ẤN</t>
  </si>
  <si>
    <t>III</t>
  </si>
  <si>
    <t>Autocad</t>
  </si>
  <si>
    <t>Revit</t>
  </si>
  <si>
    <t>IV</t>
  </si>
  <si>
    <r>
      <t xml:space="preserve">CHI PHÍ OVERHEAD </t>
    </r>
    <r>
      <rPr>
        <sz val="11"/>
        <color theme="1"/>
        <rFont val="Calibri"/>
        <family val="2"/>
        <scheme val="minor"/>
      </rPr>
      <t/>
    </r>
  </si>
  <si>
    <t>Chi phí overhead tính trên nhân sự thực hiện dự án</t>
  </si>
  <si>
    <t>Chi phí overhead (phí khấu hao tài sản, phí thuê MB vp, vp phẩm, và các chi phí khác để duy trì hoạt động Admin hỗ trợ dự án tại VP công ty )</t>
  </si>
  <si>
    <t>TỶ SUẤT LỢI NHUẬN TRƯỚC THƯỞNG %</t>
  </si>
  <si>
    <t>E</t>
  </si>
  <si>
    <t>F</t>
  </si>
  <si>
    <t>THƯỞNG DỰ ÁN</t>
  </si>
  <si>
    <t>%</t>
  </si>
  <si>
    <t>Thuế VAT 
(%)</t>
  </si>
  <si>
    <t>E1</t>
  </si>
  <si>
    <t>E2</t>
  </si>
  <si>
    <t>E3</t>
  </si>
  <si>
    <t>E4</t>
  </si>
  <si>
    <t>E5</t>
  </si>
  <si>
    <t>G</t>
  </si>
  <si>
    <t>TỶ SUẤT LỢI NHUẬN %</t>
  </si>
  <si>
    <t>NGƯỜI LẬP</t>
  </si>
  <si>
    <t>KIỂM TRA</t>
  </si>
  <si>
    <t>PHÊ DUYỆT</t>
  </si>
  <si>
    <t>CHỦ TỊCH HĐQT</t>
  </si>
  <si>
    <t>BÁO CÁO TÀI CHÍNH DỰ ÁN</t>
  </si>
  <si>
    <t>TÀI CHÍNH</t>
  </si>
  <si>
    <t>B2</t>
  </si>
  <si>
    <t>B2.1</t>
  </si>
  <si>
    <t>-</t>
  </si>
  <si>
    <t>TKTC</t>
  </si>
  <si>
    <t>In bản vẽ các giai đoạn bên ngoài</t>
  </si>
  <si>
    <t>CHI PHÍ ĐẦU TƯ THIẾT BỊ</t>
  </si>
  <si>
    <t>Kiến trúc sư_Triển khai_2 (Phúc)</t>
  </si>
  <si>
    <t>1. Mức thưởng bằng (10% - 20%) tổng mức thưởng thực tế của dự án : E1 = (10% - 20%) X E
2. Thời gian thưởng: sau khi Hợp đồng dự án được ký kết
3. Đối tượng khen thưởng: 
+ Nhân sự tham gia trực tiếp báo giá và thương thảo Hợp đồng.
+ Nhân sự tham gia kiểm tra hồ sơ TKYT (hồ sơ bản vẽ và tính toán) đảm bảo thông số đầu vào cho TKCS.</t>
  </si>
  <si>
    <t>1. Mức thưởng bằng (15-25%) tổng mức thưởng thực tế của dự án : E2 = (15-25%) X E
2. Thời gian thưởng: sau khi dự án hoàn thành giai đoạn thẩm định Báo cáo nghiên cứu khả thi.
3. Đối tượng khen thưởng: 
+ Chủ nhiệm thiết kế giai đoạn triển khai
+ Các nhân sự trực tiếp tham gia quản lý/ triển khai KT.</t>
  </si>
  <si>
    <t>1. Mức thưởng bằng (15-25%) tổng mức thưởng thực tế của dự án : E3 = (15-25%) X E
2. Thời gian thưởng: sau khi dự án hoàn thành giai đoạn Xin phép xây dựng.
3. Đối tượng khen thưởng: 
+ Chủ nhiệm thiết kế giai đoạn triển khai.
+ Các nhân sự trực tiếp tham gia quản lý/ triển khai KT.</t>
  </si>
  <si>
    <t>1. Mức thưởng bằng (10-15%) tổng mức thưởng thực tế của dự án : E4 = (10-15%) X E
2. Thời gian thưởng: sau khi dự án hoàn thành giai đoạn nghiệm thu, bàn giao đưa vào sử dụng.
3. Đối tượng khen thưởng: 
+ Chủ nhiệm thiết kế giai đoạn triển khai.
+ Các nhân sự trực tiếp tham gia quản lý/ triển khai KT.</t>
  </si>
  <si>
    <t>1. Mức thưởng bằng 25%-35% tổng mức thưởng thực tế của dự án : E5 = (25%-35%) X E
2. Viêc trích thưởng cho quỹ thưởng cho trưởng phòng ban, các bộ phận gián tiếp (BGĐ, kế toán, hành chính…) được thực hiện như sau:
-  Sau khi dự án hoàn thành thẩm định báo cáo nghiên cứu khả thi: trích thưởng 50% x H.
- Sau khi dự án hoàn thành giai đoạn nghiệm thu, bàn giao: trích thưởng 50% x H.
2. Thời gian thưởng: định kỳ 2 lần/ năm
+ Lần 1 vào cuối quý 2
+ Lần 2 vào cuối quý 4.
3. Đối tượng khen thưởng: Trưởng phòng ban, các bộ phận gián tiếp (BGĐ, kế toán, hành chính…)</t>
  </si>
  <si>
    <t>GIÁM ĐỐC</t>
  </si>
  <si>
    <t>PHÓ GIÁM ĐỐC</t>
  </si>
  <si>
    <t>Chi phí tiếp khách, in ấn</t>
  </si>
  <si>
    <t>Chi phí overhead bao gồm : 
Lương nhân sự gián tiếp, phí khấu hao tài sản, phí thuê MB vp , vp phẩm, và các chi phí khác để duy trì hoạt động Admin hỗ trợ dự án tại VP công ty).</t>
  </si>
  <si>
    <t>Chi phí công tác, giám sát tác giả</t>
  </si>
  <si>
    <t>Sản phẩm được nghiệm thu, phê duyệt</t>
  </si>
  <si>
    <t>Kiến trúc sư_Trưởng nhóm (Hải)</t>
  </si>
  <si>
    <t>Kiến trúc sư_Triển khai_1 (Mai)</t>
  </si>
  <si>
    <t>Kiến trúc sư_Triển khai_2 (Thịnh)</t>
  </si>
  <si>
    <t>Chi phí phần mềm</t>
  </si>
  <si>
    <t>Kiến trúc sư_Triển khai_3 (Như)</t>
  </si>
  <si>
    <t>DỰ ÁN</t>
  </si>
  <si>
    <t>CCTP 1&amp;2</t>
  </si>
  <si>
    <t>RED DRAGON</t>
  </si>
  <si>
    <t>C8A</t>
  </si>
  <si>
    <t>GÍA TRỊ HỢP ĐỒNG</t>
  </si>
  <si>
    <t>HỆ SỐ QUY ĐỔI</t>
  </si>
  <si>
    <t xml:space="preserve">TỔNG CHI PHÍ 
PHẦN MỀM </t>
  </si>
  <si>
    <t>CHI PHÍ PHÂN BỔ CÁC DỰ ÁN</t>
  </si>
  <si>
    <t>TÊN PHẦN MỀM</t>
  </si>
  <si>
    <t>AEC</t>
  </si>
  <si>
    <t>SỐ LƯỢNG</t>
  </si>
  <si>
    <t>GIÁ ĐƠN VỊ</t>
  </si>
  <si>
    <t>THÀNH TIỀN</t>
  </si>
  <si>
    <t>Windows Pro 11</t>
  </si>
  <si>
    <t>AEC Student</t>
  </si>
  <si>
    <t>TỔNG CỘNG</t>
  </si>
  <si>
    <t>QUY ĐỔI GIÁ TRỊ PHẦN MỀM 
VỀ CÁC DỰ ÁN HIỆN TẠI</t>
  </si>
  <si>
    <t>GIÁ TRỊ PHẦN MỀM TƯƠNG ỨNG</t>
  </si>
  <si>
    <t>Đang sử dụng bản phần mềm Revit Student.</t>
  </si>
  <si>
    <r>
      <t xml:space="preserve">CHI PHÍ OVERHEAD </t>
    </r>
    <r>
      <rPr>
        <i/>
        <sz val="16"/>
        <color theme="1"/>
        <rFont val="Calibri"/>
        <family val="2"/>
        <scheme val="minor"/>
      </rPr>
      <t>(VĂN PHÒNG, LƯƠNG GIÁN TIẾP . . .)</t>
    </r>
  </si>
  <si>
    <t>DỰ TRÙ TRUNG BÌNH HÀNG THÁNG</t>
  </si>
  <si>
    <t>Chi phí dự trù cho 14 người bao gồm 12 nhân viên chính thức và 2 quản lý</t>
  </si>
  <si>
    <t>T6/2026 - T8/2026</t>
  </si>
  <si>
    <t>T9/2025 - T4/2026</t>
  </si>
  <si>
    <t>T9/2026 - T12/2026</t>
  </si>
  <si>
    <t>LƯƠNG NHÂN SỰ GIÁN TIẾP</t>
  </si>
  <si>
    <t>Nhân viên dọn dẹp văn phòng</t>
  </si>
  <si>
    <t>Bao gồm Lương quản lý doanh nghiệp, phụ cấp và bảo hiểm.</t>
  </si>
  <si>
    <t>Giám đốc quản lý doanh nghiệp</t>
  </si>
  <si>
    <t>Phó giám đốc quản lý doanh nghiệp</t>
  </si>
  <si>
    <t>KHẤU HAO TÀI SẢN</t>
  </si>
  <si>
    <t>Máy tính sử dụng trong văn phòng</t>
  </si>
  <si>
    <t>Đang tính đủ 14 máy tính , khấu hao 2 năm</t>
  </si>
  <si>
    <t>Thiết bị lưu trữ (NAS)</t>
  </si>
  <si>
    <t>Khấu hao 2 năm</t>
  </si>
  <si>
    <t>Dịch vụ tuyển dụng (CareerViet, Vietnamwork…)</t>
  </si>
  <si>
    <t>Dịch vụ trong 6 tháng và có thể tái tiếp tục dịch vụ</t>
  </si>
  <si>
    <t>Nội thất sử dụng trong văn phòng (10/2025)</t>
  </si>
  <si>
    <t>Ghế sofa, ghế đôn, bàn lớn và nhỏ, khấu hao 2 năm</t>
  </si>
  <si>
    <t>Cụm bàn 4 người làm việc và ghế  (Đầu năm 2026)</t>
  </si>
  <si>
    <t>Một cụm 4 bàn ghế cho nhân viên, khấu hao 2 năm</t>
  </si>
  <si>
    <t>4 bộ bàn ghế (Nữa cuối năm 2026)</t>
  </si>
  <si>
    <t>THUÊ VĂN PHÒNG</t>
  </si>
  <si>
    <t>Tiền thuê văn phòng</t>
  </si>
  <si>
    <t xml:space="preserve">Dựa trên dữ liệu hàng tháng </t>
  </si>
  <si>
    <t>Tiền điện</t>
  </si>
  <si>
    <t>Tiền gửi xe máy</t>
  </si>
  <si>
    <t>Tiền thuê máy in</t>
  </si>
  <si>
    <t>Hộ kinh doanh cung cấp, thay mực miễn phí</t>
  </si>
  <si>
    <t>Tiền văn phòng phẩm + ký gửi hồ sơ</t>
  </si>
  <si>
    <t>Mua giấy phục vụ in ấn thiết yếu cho văn phòng</t>
  </si>
  <si>
    <t>Tiền nước uống (bình 20L)</t>
  </si>
  <si>
    <t>Trung bình 1 tuần 5 bình nước, 1 tháng khoảng 20 bình nước và giá trung bình 1 bình khoảng 70,000VNĐ/ bình (giá gồm VAT)</t>
  </si>
  <si>
    <t>Chi phí phần mềm bản quyền (Windows Pro 11, AEC student)</t>
  </si>
  <si>
    <t>Mua 12 license Window Pro 11, 12 AEC Student và 2 Office Family</t>
  </si>
  <si>
    <t>Chi phí phần mềm bản quyền AEC bản quyền (2 license)</t>
  </si>
  <si>
    <t>Dự kiến mua 1 license sau khi trúng dự án mới</t>
  </si>
  <si>
    <t>CHI PHÍ KHÁC</t>
  </si>
  <si>
    <t>Tiền thưởng sinh nhật</t>
  </si>
  <si>
    <t>Nhân viên : 500,000 VNĐ/ người (9)
Trưởng nhóm : 700,000 VNĐ/ người (3)
Quản lý : 1,000,000 VNĐ/ người (2)</t>
  </si>
  <si>
    <t>Thuê bộ phận Kế Toán</t>
  </si>
  <si>
    <t>Phí xuất hóa đơn 1 tháng</t>
  </si>
  <si>
    <t>1 kỳ dịch vụ Kế Toán kéo dài trong 3 tháng hay 1 quý</t>
  </si>
  <si>
    <t>Phí tính lương</t>
  </si>
  <si>
    <t>Phí tăng giảm nhân viên</t>
  </si>
  <si>
    <t>Phí quyết toán thuế năm</t>
  </si>
  <si>
    <t>Phí sổ sách, dịch vụ Kế toán trưởng</t>
  </si>
  <si>
    <t>Chi phí ăn uống tăng ca</t>
  </si>
  <si>
    <t>Tăng ca không quá 6 tháng/ năm
Mỗi tháng dự trù mua đồ ăn, thức uống từ siêu thị hoặc đặt đồ ăn nhanh, dự kiến 2 tuần/ lần.</t>
  </si>
  <si>
    <t>Chế độ khám sức khỏe</t>
  </si>
  <si>
    <t>Nhân viên : 1,500,000 VNĐ/ người (8)
Trưởng nhóm : 1,700,000 VNĐ/ người (3)
Quản lý : 2,500,000 VNĐ/ người (2)
1 năm khám sức khỏe tổng quát 1 lần</t>
  </si>
  <si>
    <t>Chế độ teambuilding hàng năm</t>
  </si>
  <si>
    <t>Nhân viên : 1,500,000 VNĐ/ người
Trưởng nhóm : 1,700,000 VNĐ/ người
Quản lý : 3,000,000 VNĐ/ người
1 năm tổ chức teambuilding 1 lần</t>
  </si>
  <si>
    <t>Chế độ họp mặt công ty định kỳ</t>
  </si>
  <si>
    <t>Họp mặt công ty hàng 2 tháng/ lần
Tổ chức tiệc sinh nhật hàng tháng
Trung bình 500k/ người</t>
  </si>
  <si>
    <t>Chế độ thăm hỏi, ốm đau</t>
  </si>
  <si>
    <t>Nhân viên : 1,000,000 VNĐ/ người/ lần
Trưởng nhóm : 1,200,000 VNĐ/ người/ lần
Quản lý : 2,500,000 VNĐ/ người/ lần
Bệnh nặng nằm viện hoặc nghỉ ốm trên 3 ngày, dự kiến 1 người/ lần/ năm.</t>
  </si>
  <si>
    <t>Chi phí tiếp khách, mở rộng quan hệ khách hàng</t>
  </si>
  <si>
    <t>Dự kiến 2 tháng/ lần.
Định mức : 5,000,000 VNĐ/ lần</t>
  </si>
  <si>
    <t>Chi phí quà cáp dịp lễ cho khách hàng (Tết ta, Trung thu)</t>
  </si>
  <si>
    <t>Định mức :
- Tết ta : 1,000,000 VNĐ/ người - Dự trù 10 người
- Trung thu : 1,000,000 VNĐ/ người - Dự trù 10 người</t>
  </si>
  <si>
    <t>Chi phí quà cho nhân viên (Tết ta)</t>
  </si>
  <si>
    <t>Định mức : 
- Nhân viên : 600,000 VNĐ/ phần
- Trưởng nhóm : 800,000 VNĐ/ phần
- Quản lý : 1,500,000 VNĐ/ phần</t>
  </si>
  <si>
    <t>Chi phí tổ chức tiệc tất niên cuối năm</t>
  </si>
  <si>
    <t>Định mức : Nhân viên là 1,500,000 VNĐ/ người (tiệc và quà), Quản lý 2,000,000 VNĐ/ người</t>
  </si>
  <si>
    <t>V</t>
  </si>
  <si>
    <t>TỔNG CỘNG CHI PHÍ VĂN PHÒNG VÀ LƯƠNG GIÁN TIẾP</t>
  </si>
  <si>
    <t>VI</t>
  </si>
  <si>
    <t>SỐ LƯỢNG TRỰC TIẾP TẠO RA DOANH THU</t>
  </si>
  <si>
    <t>VII</t>
  </si>
  <si>
    <t>CHI PHÍ OVERHEAD/ NGƯỜI/ THÁNG</t>
  </si>
  <si>
    <t>LHA</t>
  </si>
  <si>
    <t>DQMH</t>
  </si>
  <si>
    <t>Office 365 Family</t>
  </si>
  <si>
    <t>Kiến trúc sư_Triển khai_2 (Ngọc)</t>
  </si>
  <si>
    <t>DỰ ÁN: LHA - CHUNG CƯ ĐẠI LỘ HÒA BÌNH</t>
  </si>
  <si>
    <t>Dự án: LHA - CHƯNG CƯ ĐẠI LỘ HÒA BÌNH</t>
  </si>
  <si>
    <t>Phí huy động nhân sự</t>
  </si>
  <si>
    <t>Hoàn thành kiểm tra và hoàn thiện thiết kế concept hiện hữu</t>
  </si>
  <si>
    <t>Sau khi bên B trình bày (Workshop) với Chủ đầu tư về các giải pháp chính cho Kiến Trúc giai đoạn Thiết kế cơ sở</t>
  </si>
  <si>
    <t>Sau khi bên B nộp hồ sơ Hardcopy Thiết kế cơ sở Kiến trúc cho bên A</t>
  </si>
  <si>
    <t>Sau khi Chủ đầu tư phê duyệt Thiết kế cơ sở Kiến Trúc và có văn bản Thẩm định TKCS</t>
  </si>
  <si>
    <t>Sau khi bên B nộp hồ sơ Thiết kế kỹ thuật Kiến Trúc cho bên A</t>
  </si>
  <si>
    <t>Sau khi bên B nộp hồ sơ Thiết kê PCCC cho bên A</t>
  </si>
  <si>
    <t>Sau khi Chủ đầu tư phê duyệt Thiết kế kỹ thuật và Thiết kế PCCC Kiến Trúc</t>
  </si>
  <si>
    <t>Sau khi CĐT phê duyệt hồ sơ TKTC Kiến Trúc cho bên A</t>
  </si>
  <si>
    <t>Sau khi bên B nộp hồ sơ TKTC Kiến Trúc phần Ngầm cho bên A</t>
  </si>
  <si>
    <t>Sau khi bên B nộp hồ sơ TKTC Kiến Trúc phần Thân cho bên A</t>
  </si>
  <si>
    <t>NGÀY CẬP NHẬT: 17/08/2026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</si>
</sst>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3">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00\ _₫_-;\-* #,##0.00\ _₫_-;_-* &quot;-&quot;??\ _₫_-;_-@_-"/>
    <numFmt numFmtId="165" formatCode="_(* #,##0_);_(* \(#,##0\);_(* &quot;-&quot;??_);_(@_)"/>
    <numFmt numFmtId="166" formatCode="_(* #,##0.0_);_(* \(#,##0.0\);_(* &quot;-&quot;??_);_(@_)"/>
    <numFmt numFmtId="167" formatCode="_-* #,##0\ _₫_-;\-* #,##0\ _₫_-;_-* &quot;-&quot;\ _₫_-;_-@_-"/>
    <numFmt numFmtId="168" formatCode="_-* #,##0.00_-;\-* #,##0.00_-;_-* &quot;-&quot;??_-;_-@_-"/>
    <numFmt numFmtId="169" formatCode="0.000%"/>
    <numFmt numFmtId="170" formatCode="&quot;£&quot;#,##0.00;\-&quot;£&quot;#,##0.00"/>
    <numFmt numFmtId="171" formatCode="_-&quot;£&quot;* #,##0_-;\-&quot;£&quot;* #,##0_-;_-&quot;£&quot;* &quot;-&quot;_-;_-@_-"/>
    <numFmt numFmtId="172" formatCode="_-* #,##0_-;\-* #,##0_-;_-* &quot;-&quot;_-;_-@_-"/>
    <numFmt numFmtId="173" formatCode="\$#,##0\ ;\(\$#,##0\)"/>
    <numFmt numFmtId="174" formatCode="_ * #,##0.00_ ;_ * \-#,##0.00_ ;_ * &quot;-&quot;??_ ;_ @_ "/>
    <numFmt numFmtId="175" formatCode="_ * #,##0_ ;_ * \-#,##0_ ;_ * &quot;-&quot;_ ;_ @_ "/>
    <numFmt numFmtId="176" formatCode="_-* #,##0.00\ _F_-;\-* #,##0.00\ _F_-;_-* &quot;-&quot;??\ _F_-;_-@_-"/>
    <numFmt numFmtId="177" formatCode="_-&quot;$&quot;* #,##0_-;\-&quot;$&quot;* #,##0_-;_-&quot;$&quot;* &quot;-&quot;_-;_-@_-"/>
    <numFmt numFmtId="178" formatCode="_(&quot;$&quot;\ * #,##0_);_(&quot;$&quot;\ * \(#,##0\);_(&quot;$&quot;\ * &quot;-&quot;_);_(@_)"/>
    <numFmt numFmtId="179" formatCode="&quot;\&quot;#,##0;[Red]&quot;\&quot;&quot;\&quot;\-#,##0"/>
    <numFmt numFmtId="180" formatCode="_(&quot;$&quot;* #,##0.0000_);_(&quot;$&quot;* \(#,##0.0000\);_(&quot;$&quot;* &quot;-&quot;??_);_(@_)"/>
    <numFmt numFmtId="181" formatCode="_-* #,##0\ _F_-;\-* #,##0\ _F_-;_-* &quot;-&quot;\ _F_-;_-@_-"/>
    <numFmt numFmtId="182" formatCode="_-* #,##0\ &quot;$&quot;_-;_-* #,##0\ &quot;$&quot;\-;_-* &quot;-&quot;\ &quot;$&quot;_-;_-@_-"/>
    <numFmt numFmtId="183" formatCode="_-* #,##0\ &quot;F&quot;_-;\-* #,##0\ &quot;F&quot;_-;_-* &quot;-&quot;\ &quot;F&quot;_-;_-@_-"/>
    <numFmt numFmtId="184" formatCode="_-* #,##0\ &quot;$&quot;_-;\-* #,##0\ &quot;$&quot;_-;_-* &quot;-&quot;\ &quot;$&quot;_-;_-@_-"/>
    <numFmt numFmtId="185" formatCode="_-* #,##0&quot;$&quot;_-;_-* #,##0&quot;$&quot;\-;_-* &quot;-&quot;&quot;$&quot;_-;_-@_-"/>
    <numFmt numFmtId="186" formatCode="_-&quot;ñ&quot;* #,##0_-;\-&quot;ñ&quot;* #,##0_-;_-&quot;ñ&quot;* &quot;-&quot;_-;_-@_-"/>
    <numFmt numFmtId="187" formatCode="_-* #,##0.00\ _V_N_D_-;\-* #,##0.00\ _V_N_D_-;_-* &quot;-&quot;??\ _V_N_D_-;_-@_-"/>
    <numFmt numFmtId="188" formatCode="_-* #,##0.00\ _V_N_Ñ_-;_-* #,##0.00\ _V_N_Ñ\-;_-* &quot;-&quot;??\ _V_N_Ñ_-;_-@_-"/>
    <numFmt numFmtId="189" formatCode="_-* #,##0.00_$_-;_-* #,##0.00_$\-;_-* &quot;-&quot;??_$_-;_-@_-"/>
    <numFmt numFmtId="190" formatCode="_-* #,##0.00\ _$_-;_-* #,##0.00\ _$\-;_-* &quot;-&quot;??\ _$_-;_-@_-"/>
    <numFmt numFmtId="191" formatCode="_-* #,##0.00\ _ñ_-;\-* #,##0.00\ _ñ_-;_-* &quot;-&quot;??\ _ñ_-;_-@_-"/>
    <numFmt numFmtId="192" formatCode="_-* #,##0\ &quot;ñ&quot;_-;\-* #,##0\ &quot;ñ&quot;_-;_-* &quot;-&quot;\ &quot;ñ&quot;_-;_-@_-"/>
    <numFmt numFmtId="193" formatCode="_-* #,##0\ _V_N_D_-;\-* #,##0\ _V_N_D_-;_-* &quot;-&quot;\ _V_N_D_-;_-@_-"/>
    <numFmt numFmtId="194" formatCode="_-* #,##0\ _V_N_Ñ_-;_-* #,##0\ _V_N_Ñ\-;_-* &quot;-&quot;\ _V_N_Ñ_-;_-@_-"/>
    <numFmt numFmtId="195" formatCode="_-* #,##0\ _$_-;\-* #,##0\ _$_-;_-* &quot;-&quot;\ _$_-;_-@_-"/>
    <numFmt numFmtId="196" formatCode="_-* #,##0_$_-;_-* #,##0_$\-;_-* &quot;-&quot;_$_-;_-@_-"/>
    <numFmt numFmtId="197" formatCode="_-* #,##0\ _$_-;_-* #,##0\ _$\-;_-* &quot;-&quot;\ _$_-;_-@_-"/>
    <numFmt numFmtId="198" formatCode="_-* #,##0\ _ñ_-;\-* #,##0\ _ñ_-;_-* &quot;-&quot;\ _ñ_-;_-@_-"/>
    <numFmt numFmtId="199" formatCode="_ &quot;\&quot;* #,##0_ ;_ &quot;\&quot;* \-#,##0_ ;_ &quot;\&quot;* &quot;-&quot;_ ;_ @_ "/>
    <numFmt numFmtId="200" formatCode="&quot;SFr.&quot;\ #,##0.00;[Red]&quot;SFr.&quot;\ \-#,##0.00"/>
    <numFmt numFmtId="201" formatCode="&quot;SFr.&quot;\ #,##0.00;&quot;SFr.&quot;\ \-#,##0.00"/>
    <numFmt numFmtId="202" formatCode="_ &quot;SFr.&quot;\ * #,##0_ ;_ &quot;SFr.&quot;\ * \-#,##0_ ;_ &quot;SFr.&quot;\ * &quot;-&quot;_ ;_ @_ "/>
    <numFmt numFmtId="203" formatCode="_(* #,##0.00_);_(* &quot;\&quot;&quot;\&quot;&quot;\&quot;\(#,##0.00&quot;\&quot;&quot;\&quot;&quot;\&quot;\);_(* &quot;-&quot;??_);_(@_)"/>
    <numFmt numFmtId="204" formatCode="_(* #,##0_);_(* &quot;\&quot;&quot;\&quot;&quot;\&quot;\(#,##0&quot;\&quot;&quot;\&quot;&quot;\&quot;\);_(* &quot;-&quot;_);_(@_)"/>
    <numFmt numFmtId="205" formatCode="ddd\ mmm\ d"/>
    <numFmt numFmtId="206" formatCode="_ &quot;\&quot;* ###,0&quot;.&quot;00_ ;_ &quot;\&quot;* &quot;\&quot;&quot;\&quot;&quot;\&quot;&quot;\&quot;&quot;\&quot;&quot;\&quot;&quot;\&quot;&quot;\&quot;&quot;\&quot;&quot;\&quot;&quot;\&quot;&quot;\&quot;\-###,0&quot;.&quot;00_ ;_ &quot;\&quot;* &quot;-&quot;??_ ;_ @_ "/>
    <numFmt numFmtId="207" formatCode="_ * ###,0&quot;.&quot;00_ ;_ * &quot;\&quot;&quot;\&quot;&quot;\&quot;&quot;\&quot;&quot;\&quot;&quot;\&quot;&quot;\&quot;&quot;\&quot;&quot;\&quot;&quot;\&quot;&quot;\&quot;&quot;\&quot;\-###,0&quot;.&quot;00_ ;_ * &quot;-&quot;??_ ;_ @_ "/>
    <numFmt numFmtId="208" formatCode="&quot;\&quot;#,##0;&quot;\&quot;&quot;\&quot;&quot;\&quot;&quot;\&quot;&quot;\&quot;&quot;\&quot;&quot;\&quot;&quot;\&quot;&quot;\&quot;&quot;\&quot;&quot;\&quot;&quot;\&quot;&quot;\&quot;&quot;\&quot;\-#,##0"/>
    <numFmt numFmtId="209" formatCode="&quot;\&quot;#,##0;[Red]&quot;\&quot;&quot;\&quot;&quot;\&quot;&quot;\&quot;&quot;\&quot;&quot;\&quot;&quot;\&quot;&quot;\&quot;&quot;\&quot;&quot;\&quot;&quot;\&quot;&quot;\&quot;&quot;\&quot;&quot;\&quot;\-#,##0"/>
    <numFmt numFmtId="210" formatCode="_ * #,##0_ ;_ * &quot;\&quot;&quot;\&quot;&quot;\&quot;&quot;\&quot;&quot;\&quot;&quot;\&quot;&quot;\&quot;&quot;\&quot;&quot;\&quot;&quot;\&quot;&quot;\&quot;&quot;\&quot;\-#,##0_ ;_ * &quot;-&quot;_ ;_ @_ "/>
    <numFmt numFmtId="211" formatCode="&quot;\&quot;###,0&quot;.&quot;00;&quot;\&quot;&quot;\&quot;&quot;\&quot;&quot;\&quot;&quot;\&quot;&quot;\&quot;&quot;\&quot;&quot;\&quot;&quot;\&quot;&quot;\&quot;&quot;\&quot;&quot;\&quot;&quot;\&quot;&quot;\&quot;\-###,0&quot;.&quot;00"/>
    <numFmt numFmtId="212" formatCode="_-* #,##0.00\ &quot;F&quot;_-;\-* #,##0.00\ &quot;F&quot;_-;_-* &quot;-&quot;??\ &quot;F&quot;_-;_-@_-"/>
    <numFmt numFmtId="213" formatCode="#,##0.00_);\-#,##0.00_)"/>
    <numFmt numFmtId="214" formatCode="#,##0.00\ &quot;F&quot;;[Red]\-#,##0.00\ &quot;F&quot;"/>
    <numFmt numFmtId="215" formatCode="0.0000%"/>
    <numFmt numFmtId="216" formatCode="_ * #,##0_)_$_ ;_ * \(#,##0\)_$_ ;_ * &quot;-&quot;_)_$_ ;_ @_ "/>
    <numFmt numFmtId="217" formatCode="#,##0;[Red]#,##0"/>
    <numFmt numFmtId="218" formatCode="_-* #,##0\ _?_-;\-* #,##0\ _?_-;_-* &quot;-&quot;\ _?_-;_-@_-"/>
    <numFmt numFmtId="219" formatCode="_-* #,##0.00\ _?_-;\-* #,##0.00\ _?_-;_-* &quot;-&quot;??\ _?_-;_-@_-"/>
    <numFmt numFmtId="220" formatCode="_-&quot;VND&quot;* #,##0_-;\-&quot;VND&quot;* #,##0_-;_-&quot;VND&quot;* &quot;-&quot;_-;_-@_-"/>
    <numFmt numFmtId="221" formatCode="_(&quot;Rp&quot;* #,##0.00_);_(&quot;Rp&quot;* \(#,##0.00\);_(&quot;Rp&quot;* &quot;-&quot;??_);_(@_)"/>
    <numFmt numFmtId="222" formatCode="#,##0.00\ &quot;FB&quot;;[Red]\-#,##0.00\ &quot;FB&quot;"/>
    <numFmt numFmtId="223" formatCode="#,##0\ &quot;$&quot;;\-#,##0\ &quot;$&quot;"/>
    <numFmt numFmtId="224" formatCode="&quot;$&quot;#,##0;\-&quot;$&quot;#,##0"/>
    <numFmt numFmtId="225" formatCode="_-* #,##0\ _F_B_-;\-* #,##0\ _F_B_-;_-* &quot;-&quot;\ _F_B_-;_-@_-"/>
    <numFmt numFmtId="226" formatCode="&quot;\&quot;#,##0.00;[Red]&quot;\&quot;&quot;\&quot;\-#,##0.00"/>
    <numFmt numFmtId="227" formatCode="#,##0_);\-#,##0_)"/>
    <numFmt numFmtId="228" formatCode="_(* #,##0.000000_);_(* \(#,##0.000000\);_(* &quot;-&quot;??_);_(@_)"/>
    <numFmt numFmtId="229" formatCode="#,##0\ &quot;$&quot;_);\(#,##0\ &quot;$&quot;\)"/>
    <numFmt numFmtId="230" formatCode="_ * #,##0.00_)&quot;$&quot;_ ;_ * \(#,##0.00\)&quot;$&quot;_ ;_ * &quot;-&quot;??_)&quot;$&quot;_ ;_ @_ "/>
    <numFmt numFmtId="231" formatCode="ddd\ dd\ mmm"/>
    <numFmt numFmtId="232" formatCode="_ * #,##0.00_)_$_ ;_ * \(#,##0.00\)_$_ ;_ * &quot;-&quot;??_)_$_ ;_ @_ "/>
    <numFmt numFmtId="233" formatCode="#,##0\ &quot;$&quot;_);[Red]\(#,##0\ &quot;$&quot;\)"/>
    <numFmt numFmtId="234" formatCode="&quot;$&quot;###,0&quot;.&quot;00_);[Red]\(&quot;$&quot;###,0&quot;.&quot;00\)"/>
    <numFmt numFmtId="235" formatCode="_ &quot;\&quot;* #,##0_ ;_ &quot;\&quot;* &quot;\&quot;&quot;\&quot;&quot;\&quot;&quot;\&quot;&quot;\&quot;&quot;\&quot;&quot;\&quot;&quot;\&quot;&quot;\&quot;&quot;\&quot;&quot;\&quot;&quot;\&quot;&quot;\&quot;&quot;\&quot;\-#,##0_ ;_ &quot;\&quot;* &quot;-&quot;_ ;_ @_ "/>
    <numFmt numFmtId="236" formatCode="d"/>
    <numFmt numFmtId="237" formatCode="&quot;$&quot;#,##0;[Red]\-&quot;$&quot;#,##0"/>
    <numFmt numFmtId="238" formatCode="#,##0.00\ \ "/>
    <numFmt numFmtId="239" formatCode="0.00000"/>
    <numFmt numFmtId="240" formatCode="_ * #,##0_ ;_ * \-#,##0_ ;_ * &quot;-&quot;??_ ;_ @_ "/>
    <numFmt numFmtId="241" formatCode="&quot;\&quot;###,0&quot;.&quot;00;[Red]&quot;\&quot;&quot;\&quot;&quot;\&quot;&quot;\&quot;&quot;\&quot;&quot;\&quot;&quot;\&quot;&quot;\&quot;&quot;\&quot;&quot;\&quot;&quot;\&quot;&quot;\&quot;&quot;\&quot;&quot;\&quot;\-###,0&quot;.&quot;00"/>
    <numFmt numFmtId="242" formatCode="_ &quot;\&quot;* #,##0_ ;_ &quot;\&quot;* &quot;\&quot;&quot;\&quot;&quot;\&quot;&quot;\&quot;&quot;\&quot;&quot;\&quot;&quot;\&quot;&quot;\&quot;&quot;\&quot;&quot;\&quot;&quot;\&quot;&quot;\&quot;&quot;\&quot;\-#,##0_ ;_ &quot;\&quot;* &quot;-&quot;_ ;_ @_ "/>
    <numFmt numFmtId="243" formatCode="_-* ###,0&quot;.&quot;00_-;\-* ###,0&quot;.&quot;00_-;_-* &quot;-&quot;??_-;_-@_-"/>
    <numFmt numFmtId="244" formatCode="_-&quot;$&quot;* ###,0&quot;.&quot;00_-;\-&quot;$&quot;* ###,0&quot;.&quot;00_-;_-&quot;$&quot;* &quot;-&quot;??_-;_-@_-"/>
    <numFmt numFmtId="245" formatCode="#,##0\ &quot;F&quot;;[Red]\-#,##0\ &quot;F&quot;"/>
    <numFmt numFmtId="246" formatCode="#,##0.00\ &quot;F&quot;;\-#,##0.00\ &quot;F&quot;"/>
    <numFmt numFmtId="247" formatCode="_ * #,##0_)&quot;$&quot;_ ;_ * \(#,##0\)&quot;$&quot;_ ;_ * &quot;-&quot;_)&quot;$&quot;_ ;_ @_ "/>
    <numFmt numFmtId="248" formatCode="&quot;\&quot;#,##0;&quot;\&quot;&quot;\&quot;&quot;\&quot;&quot;\&quot;&quot;\&quot;&quot;\&quot;&quot;\&quot;\-#,##0"/>
    <numFmt numFmtId="249" formatCode="_-&quot;$&quot;* #,##0.00_-;\-&quot;$&quot;* #,##0.00_-;_-&quot;$&quot;* &quot;-&quot;??_-;_-@_-"/>
    <numFmt numFmtId="250" formatCode="_-* #,##0_-;&quot;\&quot;\!\-* #,##0_-;_-* &quot;-&quot;_-;_-@_-"/>
    <numFmt numFmtId="251" formatCode="_-* #,##0.00\ _k_r_._-;\-* #,##0.00\ _k_r_._-;_-* &quot;-&quot;??\ _k_r_._-;_-@_-"/>
    <numFmt numFmtId="252" formatCode="_ &quot;\&quot;* #,##0.00_ ;_ &quot;\&quot;* \-#,##0.00_ ;_ &quot;\&quot;* &quot;-&quot;??_ ;_ @_ "/>
    <numFmt numFmtId="253" formatCode="#,##0.00_);\(#,##0.00\);\-_);@"/>
    <numFmt numFmtId="254" formatCode="#,##0_);\(#,##0\);\-_)"/>
    <numFmt numFmtId="255" formatCode="#,##0.00_);\(#,##0.00\);\-_)"/>
    <numFmt numFmtId="256" formatCode="#,##0.00_);\-#,##0.00_);\-_)"/>
    <numFmt numFmtId="257" formatCode="#,##0.00&quot;  &quot;"/>
    <numFmt numFmtId="258" formatCode="_(\$* #,##0.0000_);_(\$* \(#,##0.0000\);_(\$* \-??_);_(@_)"/>
    <numFmt numFmtId="259" formatCode="[$-409]General"/>
    <numFmt numFmtId="260" formatCode="0.0%"/>
    <numFmt numFmtId="261" formatCode="_-* #,##0_-;\-* #,##0_-;_-* &quot;-&quot;??_-;_-@_-"/>
  </numFmts>
  <fonts count="179">
    <font>
      <sz val="11"/>
      <color theme="1"/>
      <name val="Calibri"/>
      <family val="2"/>
      <scheme val="minor"/>
    </font>
    <font>
      <sz val="11"/>
      <color theme="1"/>
      <name val="Calibri"/>
      <family val="2"/>
      <charset val="163"/>
      <scheme val="minor"/>
    </font>
    <font>
      <sz val="11"/>
      <color theme="1"/>
      <name val="Calibri"/>
      <family val="2"/>
      <scheme val="minor"/>
    </font>
    <font>
      <sz val="11"/>
      <color theme="1"/>
      <name val="Arial"/>
      <family val="2"/>
    </font>
    <font>
      <sz val="11"/>
      <color rgb="FF000000"/>
      <name val="Arial"/>
      <family val="2"/>
    </font>
    <font>
      <sz val="16"/>
      <color theme="1"/>
      <name val="Arial"/>
      <family val="2"/>
    </font>
    <font>
      <b/>
      <sz val="12"/>
      <color theme="1"/>
      <name val="Arial"/>
      <family val="2"/>
    </font>
    <font>
      <b/>
      <sz val="11"/>
      <color rgb="FFC00000"/>
      <name val="Arial"/>
      <family val="2"/>
    </font>
    <font>
      <sz val="11"/>
      <name val="Arial"/>
      <family val="2"/>
    </font>
    <font>
      <b/>
      <sz val="11"/>
      <name val="Arial"/>
      <family val="2"/>
    </font>
    <font>
      <sz val="14"/>
      <name val="Arial"/>
      <family val="2"/>
    </font>
    <font>
      <sz val="11"/>
      <name val="VNI-Times"/>
    </font>
    <font>
      <b/>
      <sz val="11"/>
      <color theme="1"/>
      <name val="Calibri"/>
      <family val="2"/>
      <scheme val="minor"/>
    </font>
    <font>
      <b/>
      <sz val="16"/>
      <color theme="1"/>
      <name val="Calibri"/>
      <family val="2"/>
      <scheme val="minor"/>
    </font>
    <font>
      <sz val="10"/>
      <color theme="1"/>
      <name val="Calibri"/>
      <family val="2"/>
      <scheme val="minor"/>
    </font>
    <font>
      <u/>
      <sz val="11"/>
      <color theme="10"/>
      <name val="Calibri"/>
      <family val="2"/>
      <scheme val="minor"/>
    </font>
    <font>
      <sz val="10"/>
      <name val="Arial"/>
      <family val="2"/>
      <charset val="163"/>
    </font>
    <font>
      <sz val="10"/>
      <name val="Arial"/>
      <family val="2"/>
    </font>
    <font>
      <b/>
      <sz val="11"/>
      <color theme="1"/>
      <name val="Arial"/>
      <family val="2"/>
    </font>
    <font>
      <sz val="12"/>
      <name val="Times New Roman"/>
      <family val="1"/>
    </font>
    <font>
      <sz val="11"/>
      <color indexed="8"/>
      <name val="Calibri"/>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Helv"/>
      <family val="2"/>
    </font>
    <font>
      <sz val="12"/>
      <name val="|??´¸ⓒ"/>
      <family val="1"/>
      <charset val="129"/>
    </font>
    <font>
      <b/>
      <sz val="10"/>
      <name val="Helv"/>
      <family val="2"/>
    </font>
    <font>
      <b/>
      <sz val="12"/>
      <name val="Helv"/>
      <family val="2"/>
    </font>
    <font>
      <b/>
      <sz val="12"/>
      <name val="Arial"/>
      <family val="2"/>
    </font>
    <font>
      <b/>
      <sz val="18"/>
      <name val="Arial"/>
      <family val="2"/>
    </font>
    <font>
      <b/>
      <sz val="11"/>
      <name val="Helv"/>
      <family val="2"/>
    </font>
    <font>
      <sz val="10"/>
      <name val="Courier"/>
      <family val="3"/>
    </font>
    <font>
      <sz val="12"/>
      <name val="바탕체"/>
      <family val="1"/>
      <charset val="129"/>
    </font>
    <font>
      <sz val="8"/>
      <name val="VNI-Helve"/>
    </font>
    <font>
      <b/>
      <sz val="12"/>
      <name val=".VnTime"/>
      <family val="2"/>
    </font>
    <font>
      <b/>
      <sz val="10"/>
      <name val=".VnTime"/>
      <family val="2"/>
    </font>
    <font>
      <sz val="10"/>
      <name val=".VnTime"/>
      <family val="2"/>
    </font>
    <font>
      <sz val="9"/>
      <name val=".VnTime"/>
      <family val="2"/>
    </font>
    <font>
      <sz val="14"/>
      <name val="뼻뮝"/>
      <family val="3"/>
      <charset val="129"/>
    </font>
    <font>
      <sz val="12"/>
      <name val="뼻뮝"/>
      <family val="1"/>
      <charset val="129"/>
    </font>
    <font>
      <sz val="10"/>
      <name val="VNI-Times"/>
    </font>
    <font>
      <sz val="10"/>
      <name val="Times New Roman"/>
      <family val="1"/>
    </font>
    <font>
      <b/>
      <sz val="11"/>
      <name val="Times New Roman"/>
      <family val="1"/>
    </font>
    <font>
      <sz val="12"/>
      <name val="VNI-Times"/>
    </font>
    <font>
      <sz val="12"/>
      <name val="Arial"/>
      <family val="2"/>
    </font>
    <font>
      <sz val="11"/>
      <color indexed="8"/>
      <name val="Arial"/>
      <family val="2"/>
    </font>
    <font>
      <sz val="12"/>
      <name val=".VnTime"/>
      <family val="2"/>
    </font>
    <font>
      <sz val="9"/>
      <name val="Arial"/>
      <family val="2"/>
    </font>
    <font>
      <sz val="10"/>
      <name val="VNI-Helve"/>
    </font>
    <font>
      <sz val="10"/>
      <name val=".VnArial"/>
      <family val="2"/>
    </font>
    <font>
      <sz val="10"/>
      <name val="?? ??"/>
      <family val="1"/>
      <charset val="136"/>
    </font>
    <font>
      <sz val="12"/>
      <name val="바탕체"/>
      <family val="1"/>
    </font>
    <font>
      <sz val="12"/>
      <name val="????"/>
      <family val="1"/>
      <charset val="136"/>
    </font>
    <font>
      <sz val="12"/>
      <name val="Courier"/>
      <family val="3"/>
    </font>
    <font>
      <sz val="12"/>
      <name val="???"/>
      <family val="1"/>
      <charset val="129"/>
    </font>
    <font>
      <sz val="12"/>
      <name val="|??¢¥¢¬¨Ï"/>
      <family val="1"/>
      <charset val="129"/>
    </font>
    <font>
      <u/>
      <sz val="11"/>
      <color indexed="36"/>
      <name val="lr oSVbN"/>
      <family val="3"/>
    </font>
    <font>
      <sz val="10"/>
      <name val="MS Sans Serif"/>
      <family val="2"/>
    </font>
    <font>
      <sz val="12"/>
      <name val="???"/>
      <family val="2"/>
    </font>
    <font>
      <sz val="11"/>
      <name val="–¾’©"/>
      <family val="1"/>
      <charset val="128"/>
    </font>
    <font>
      <b/>
      <u/>
      <sz val="14"/>
      <color indexed="8"/>
      <name val=".VnBook-AntiquaH"/>
      <family val="2"/>
    </font>
    <font>
      <sz val="12"/>
      <color indexed="8"/>
      <name val="¹ÙÅÁÃ¼"/>
      <family val="1"/>
      <charset val="129"/>
    </font>
    <font>
      <i/>
      <sz val="12"/>
      <color indexed="8"/>
      <name val=".VnBook-AntiquaH"/>
      <family val="2"/>
    </font>
    <font>
      <sz val="12"/>
      <color indexed="8"/>
      <name val="新細明體"/>
      <family val="1"/>
      <charset val="136"/>
    </font>
    <font>
      <b/>
      <sz val="12"/>
      <color indexed="8"/>
      <name val=".VnBook-Antiqua"/>
      <family val="2"/>
    </font>
    <font>
      <i/>
      <sz val="12"/>
      <color indexed="8"/>
      <name val=".VnBook-Antiqua"/>
      <family val="2"/>
    </font>
    <font>
      <sz val="12"/>
      <color indexed="9"/>
      <name val="新細明體"/>
      <family val="1"/>
      <charset val="136"/>
    </font>
    <font>
      <sz val="12"/>
      <name val="¹UAAA¼"/>
      <family val="3"/>
      <charset val="129"/>
    </font>
    <font>
      <sz val="10"/>
      <name val="Geneva"/>
      <family val="2"/>
    </font>
    <font>
      <sz val="8"/>
      <name val="Times New Roman"/>
      <family val="1"/>
    </font>
    <font>
      <sz val="12"/>
      <name val="¹ÙÅÁÃ¼"/>
      <family val="2"/>
      <charset val="129"/>
    </font>
    <font>
      <sz val="12"/>
      <name val="¹ÙÅÁÃ¼"/>
      <charset val="129"/>
    </font>
    <font>
      <sz val="12"/>
      <name val="Tms Rmn"/>
    </font>
    <font>
      <sz val="11"/>
      <name val="µ¸¿ò"/>
      <charset val="129"/>
    </font>
    <font>
      <sz val="10"/>
      <name val="VNI-Aptima"/>
    </font>
    <font>
      <sz val="12"/>
      <color indexed="8"/>
      <name val="VNI-Helve-Condense"/>
    </font>
    <font>
      <sz val="10"/>
      <name val="MS Serif"/>
      <family val="1"/>
    </font>
    <font>
      <sz val="12"/>
      <name val="???"/>
    </font>
    <font>
      <sz val="10"/>
      <color indexed="8"/>
      <name val="Arial"/>
      <family val="2"/>
    </font>
    <font>
      <sz val="1"/>
      <color indexed="8"/>
      <name val="Courier"/>
      <family val="3"/>
    </font>
    <font>
      <sz val="10"/>
      <color indexed="8"/>
      <name val="MS Sans Serif"/>
      <family val="2"/>
    </font>
    <font>
      <sz val="10"/>
      <name val="Arial CE"/>
      <family val="2"/>
      <charset val="238"/>
    </font>
    <font>
      <sz val="10"/>
      <color indexed="16"/>
      <name val="MS Serif"/>
      <family val="1"/>
    </font>
    <font>
      <sz val="10"/>
      <name val="VNI-Helve-Condense"/>
    </font>
    <font>
      <sz val="11"/>
      <name val="lr oSVbN"/>
      <family val="3"/>
    </font>
    <font>
      <b/>
      <sz val="12"/>
      <name val=".VnBook-AntiquaH"/>
      <family val="2"/>
    </font>
    <font>
      <sz val="12"/>
      <name val="±¼¸²Ã¼"/>
      <family val="3"/>
      <charset val="129"/>
    </font>
    <font>
      <u/>
      <sz val="11"/>
      <color indexed="12"/>
      <name val="lr oSVbN"/>
      <family val="3"/>
    </font>
    <font>
      <sz val="7"/>
      <name val="Small Fonts"/>
      <family val="2"/>
    </font>
    <font>
      <b/>
      <sz val="12"/>
      <name val="VN-NTime"/>
    </font>
    <font>
      <sz val="10"/>
      <name val="Tms Rmn"/>
    </font>
    <font>
      <sz val="11"/>
      <name val="VNI-Aptima"/>
    </font>
    <font>
      <sz val="10"/>
      <name val="Tms Rmn"/>
      <family val="1"/>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u/>
      <sz val="12"/>
      <color indexed="12"/>
      <name val="VNI-Times"/>
    </font>
    <font>
      <sz val="10"/>
      <name val="VNbook-Antiqua"/>
      <family val="2"/>
    </font>
    <font>
      <b/>
      <sz val="8"/>
      <color indexed="8"/>
      <name val="Helv"/>
      <family val="2"/>
    </font>
    <font>
      <sz val="10"/>
      <name val="Symbol"/>
      <family val="1"/>
      <charset val="2"/>
    </font>
    <font>
      <sz val="13"/>
      <name val=".VnTime"/>
      <family val="2"/>
    </font>
    <font>
      <sz val="13"/>
      <name val=".VnArial"/>
      <family val="2"/>
    </font>
    <font>
      <sz val="10"/>
      <name val="VNI-Centur"/>
      <family val="2"/>
    </font>
    <font>
      <sz val="10"/>
      <name val=".VnArial Narrow"/>
      <family val="2"/>
    </font>
    <font>
      <sz val="10"/>
      <name val="VNtimes new roman"/>
      <family val="2"/>
    </font>
    <font>
      <sz val="11"/>
      <name val="?? ?????"/>
      <family val="3"/>
    </font>
    <font>
      <sz val="14"/>
      <name val=".VnArial"/>
      <family val="2"/>
    </font>
    <font>
      <sz val="16"/>
      <name val="AngsanaUPC"/>
      <family val="3"/>
    </font>
    <font>
      <sz val="12"/>
      <name val="바탕체"/>
      <family val="3"/>
    </font>
    <font>
      <sz val="11"/>
      <name val="돋움"/>
      <family val="3"/>
      <charset val="129"/>
    </font>
    <font>
      <sz val="12"/>
      <color indexed="60"/>
      <name val="新細明體"/>
      <family val="1"/>
      <charset val="136"/>
    </font>
    <font>
      <sz val="12"/>
      <name val="新細明體"/>
      <family val="1"/>
      <charset val="136"/>
    </font>
    <font>
      <b/>
      <sz val="12"/>
      <color indexed="8"/>
      <name val="新細明體"/>
      <family val="1"/>
      <charset val="136"/>
    </font>
    <font>
      <sz val="12"/>
      <color indexed="20"/>
      <name val="新細明體"/>
      <family val="1"/>
      <charset val="136"/>
    </font>
    <font>
      <sz val="10"/>
      <name val="돋움체"/>
      <family val="3"/>
      <charset val="129"/>
    </font>
    <font>
      <sz val="12"/>
      <color indexed="17"/>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2"/>
      <color indexed="9"/>
      <name val="新細明體"/>
      <family val="1"/>
      <charset val="136"/>
    </font>
    <font>
      <sz val="11"/>
      <name val="ＭＳ Ｐゴシック"/>
      <family val="2"/>
      <charset val="128"/>
    </font>
    <font>
      <b/>
      <sz val="12"/>
      <color indexed="52"/>
      <name val="新細明體"/>
      <family val="1"/>
      <charset val="136"/>
    </font>
    <font>
      <i/>
      <sz val="12"/>
      <color indexed="23"/>
      <name val="新細明體"/>
      <family val="1"/>
      <charset val="136"/>
    </font>
    <font>
      <sz val="12"/>
      <color indexed="10"/>
      <name val="新細明體"/>
      <family val="1"/>
      <charset val="136"/>
    </font>
    <font>
      <u/>
      <sz val="11"/>
      <color indexed="12"/>
      <name val=".VnTime"/>
      <family val="2"/>
    </font>
    <font>
      <sz val="12"/>
      <color indexed="62"/>
      <name val="新細明體"/>
      <family val="1"/>
      <charset val="136"/>
    </font>
    <font>
      <b/>
      <sz val="12"/>
      <color indexed="63"/>
      <name val="新細明體"/>
      <family val="1"/>
      <charset val="136"/>
    </font>
    <font>
      <sz val="12"/>
      <color indexed="52"/>
      <name val="新細明體"/>
      <family val="1"/>
      <charset val="136"/>
    </font>
    <font>
      <u/>
      <sz val="11"/>
      <color indexed="36"/>
      <name val=".VnTime"/>
      <family val="2"/>
    </font>
    <font>
      <sz val="10"/>
      <name val=" "/>
      <family val="1"/>
      <charset val="136"/>
    </font>
    <font>
      <sz val="9"/>
      <color indexed="8"/>
      <name val="Times New Roman"/>
      <family val="1"/>
    </font>
    <font>
      <sz val="10"/>
      <color theme="1"/>
      <name val="Times New Roman"/>
      <family val="1"/>
    </font>
    <font>
      <b/>
      <sz val="10"/>
      <color theme="1"/>
      <name val="Times New Roman"/>
      <family val="1"/>
    </font>
    <font>
      <sz val="12"/>
      <color theme="1"/>
      <name val="Calibri"/>
      <family val="2"/>
      <scheme val="minor"/>
    </font>
    <font>
      <sz val="10"/>
      <color theme="1"/>
      <name val="Arial"/>
      <family val="2"/>
    </font>
    <font>
      <b/>
      <sz val="10"/>
      <name val="Arial"/>
      <family val="2"/>
    </font>
    <font>
      <sz val="13"/>
      <name val="Times New Roman"/>
      <family val="1"/>
    </font>
    <font>
      <sz val="16"/>
      <name val="Arial"/>
      <family val="2"/>
    </font>
    <font>
      <i/>
      <sz val="10.5"/>
      <name val="Times New Roman"/>
      <family val="1"/>
    </font>
    <font>
      <b/>
      <sz val="10.5"/>
      <name val="Calibri"/>
      <family val="2"/>
    </font>
    <font>
      <b/>
      <sz val="14"/>
      <color theme="0"/>
      <name val="Arial"/>
      <family val="2"/>
    </font>
    <font>
      <b/>
      <sz val="10"/>
      <color theme="1"/>
      <name val="Arial"/>
      <family val="2"/>
    </font>
    <font>
      <sz val="11"/>
      <name val="Calibri"/>
      <family val="2"/>
    </font>
    <font>
      <b/>
      <u/>
      <sz val="12"/>
      <color rgb="FF0070C0"/>
      <name val="Arial"/>
      <family val="2"/>
    </font>
    <font>
      <u/>
      <sz val="10"/>
      <color theme="1"/>
      <name val="Arial"/>
      <family val="2"/>
    </font>
    <font>
      <sz val="11"/>
      <color theme="1"/>
      <name val="Calibri"/>
      <family val="2"/>
    </font>
    <font>
      <u/>
      <sz val="7"/>
      <color indexed="12"/>
      <name val="Times New Roman"/>
      <family val="1"/>
    </font>
    <font>
      <sz val="10"/>
      <name val="Du toan Intelligent 1"/>
    </font>
    <font>
      <sz val="9"/>
      <color indexed="81"/>
      <name val="Tahoma"/>
      <family val="2"/>
    </font>
    <font>
      <b/>
      <sz val="9"/>
      <color indexed="81"/>
      <name val="Tahoma"/>
      <family val="2"/>
    </font>
    <font>
      <sz val="11"/>
      <name val="Calibri"/>
      <family val="2"/>
      <scheme val="minor"/>
    </font>
    <font>
      <i/>
      <sz val="10"/>
      <color theme="1"/>
      <name val="Calibri"/>
      <family val="2"/>
      <scheme val="minor"/>
    </font>
    <font>
      <b/>
      <sz val="20"/>
      <name val="Arial"/>
      <family val="2"/>
    </font>
    <font>
      <b/>
      <sz val="16"/>
      <name val="Arial"/>
      <family val="2"/>
    </font>
    <font>
      <b/>
      <sz val="20"/>
      <color theme="1"/>
      <name val="Calibri"/>
      <family val="2"/>
      <scheme val="minor"/>
    </font>
    <font>
      <sz val="12"/>
      <color theme="1"/>
      <name val="Times New Roman"/>
      <family val="1"/>
    </font>
    <font>
      <b/>
      <sz val="12"/>
      <color theme="1"/>
      <name val="Times New Roman"/>
      <family val="1"/>
    </font>
    <font>
      <b/>
      <sz val="20"/>
      <color theme="1"/>
      <name val="Times New Roman"/>
      <family val="1"/>
    </font>
    <font>
      <i/>
      <sz val="16"/>
      <color theme="1"/>
      <name val="Calibri"/>
      <family val="2"/>
      <scheme val="minor"/>
    </font>
    <font>
      <b/>
      <sz val="14"/>
      <color theme="1"/>
      <name val="Calibri"/>
      <family val="2"/>
      <scheme val="minor"/>
    </font>
    <font>
      <i/>
      <sz val="11"/>
      <color theme="1"/>
      <name val="Calibri"/>
      <family val="2"/>
      <scheme val="minor"/>
    </font>
    <font>
      <i/>
      <sz val="11"/>
      <name val="Calibri"/>
      <family val="2"/>
      <scheme val="minor"/>
    </font>
    <font>
      <b/>
      <sz val="11"/>
      <color rgb="FF00B050"/>
      <name val="Arial"/>
      <family val="2"/>
    </font>
    <font>
      <b/>
      <sz val="11"/>
      <color rgb="FF0070C0"/>
      <name val="Arial"/>
      <family val="2"/>
    </font>
  </fonts>
  <fills count="52">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bgColor indexed="64"/>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40"/>
        <bgColor indexed="64"/>
      </patternFill>
    </fill>
    <fill>
      <patternFill patternType="gray125">
        <fgColor indexed="35"/>
      </patternFill>
    </fill>
    <fill>
      <patternFill patternType="solid">
        <fgColor theme="1"/>
        <bgColor indexed="64"/>
      </patternFill>
    </fill>
    <fill>
      <patternFill patternType="solid">
        <fgColor rgb="FFC0C0C0"/>
        <bgColor indexed="64"/>
      </patternFill>
    </fill>
    <fill>
      <patternFill patternType="solid">
        <fgColor theme="1" tint="0.499984740745262"/>
        <bgColor indexed="64"/>
      </patternFill>
    </fill>
    <fill>
      <patternFill patternType="solid">
        <fgColor rgb="FFFFFF00"/>
        <bgColor indexed="64"/>
      </patternFill>
    </fill>
    <fill>
      <patternFill patternType="solid">
        <fgColor theme="5" tint="0.5999938962981048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medium">
        <color indexed="64"/>
      </top>
      <bottom style="medium">
        <color indexed="64"/>
      </bottom>
      <diagonal/>
    </border>
    <border>
      <left/>
      <right/>
      <top/>
      <bottom style="double">
        <color indexed="52"/>
      </bottom>
      <diagonal/>
    </border>
    <border>
      <left/>
      <right/>
      <top/>
      <bottom style="medium">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double">
        <color indexed="64"/>
      </top>
      <bottom/>
      <diagonal/>
    </border>
    <border>
      <left/>
      <right/>
      <top style="thin">
        <color indexed="62"/>
      </top>
      <bottom style="double">
        <color indexed="62"/>
      </bottom>
      <diagonal/>
    </border>
    <border>
      <left style="hair">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1394">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0" fontId="1" fillId="0" borderId="0"/>
    <xf numFmtId="0" fontId="15" fillId="0" borderId="0" applyNumberFormat="0" applyFill="0" applyBorder="0" applyAlignment="0" applyProtection="0"/>
    <xf numFmtId="0" fontId="16" fillId="0" borderId="0"/>
    <xf numFmtId="0" fontId="17" fillId="0" borderId="0"/>
    <xf numFmtId="0" fontId="2" fillId="0" borderId="0"/>
    <xf numFmtId="168"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2" fillId="0" borderId="0"/>
    <xf numFmtId="168" fontId="1" fillId="0" borderId="0" applyFont="0" applyFill="0" applyBorder="0" applyAlignment="0" applyProtection="0"/>
    <xf numFmtId="9"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7" fillId="0" borderId="0"/>
    <xf numFmtId="164" fontId="17" fillId="0" borderId="0" applyFont="0" applyFill="0" applyBorder="0" applyAlignment="0" applyProtection="0"/>
    <xf numFmtId="0" fontId="17" fillId="0" borderId="0"/>
    <xf numFmtId="164" fontId="11" fillId="0" borderId="0" applyFont="0" applyFill="0" applyBorder="0" applyAlignment="0" applyProtection="0"/>
    <xf numFmtId="9" fontId="17" fillId="0" borderId="0" applyFont="0" applyFill="0" applyBorder="0" applyAlignment="0" applyProtection="0"/>
    <xf numFmtId="164" fontId="17" fillId="0" borderId="0" applyFont="0" applyFill="0" applyBorder="0" applyAlignment="0" applyProtection="0"/>
    <xf numFmtId="164" fontId="1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7" fillId="0" borderId="0"/>
    <xf numFmtId="177" fontId="54" fillId="0" borderId="0" applyFont="0" applyFill="0" applyBorder="0" applyAlignment="0" applyProtection="0"/>
    <xf numFmtId="178" fontId="60" fillId="0" borderId="0" applyFont="0" applyFill="0" applyBorder="0" applyAlignment="0" applyProtection="0"/>
    <xf numFmtId="0" fontId="61" fillId="0" borderId="0" applyFont="0" applyFill="0" applyBorder="0" applyAlignment="0" applyProtection="0"/>
    <xf numFmtId="179" fontId="17" fillId="0" borderId="0" applyFont="0" applyFill="0" applyBorder="0" applyAlignment="0" applyProtection="0"/>
    <xf numFmtId="0" fontId="62"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80" fontId="51" fillId="0" borderId="0" applyFont="0" applyFill="0" applyBorder="0" applyAlignment="0" applyProtection="0"/>
    <xf numFmtId="175" fontId="60" fillId="0" borderId="0" applyFont="0" applyFill="0" applyBorder="0" applyAlignment="0" applyProtection="0"/>
    <xf numFmtId="172" fontId="63" fillId="0" borderId="0" applyFont="0" applyFill="0" applyBorder="0" applyAlignment="0" applyProtection="0"/>
    <xf numFmtId="168" fontId="63" fillId="0" borderId="0" applyFont="0" applyFill="0" applyBorder="0" applyAlignment="0" applyProtection="0"/>
    <xf numFmtId="6" fontId="64" fillId="0" borderId="0" applyFont="0" applyFill="0" applyBorder="0" applyAlignment="0" applyProtection="0"/>
    <xf numFmtId="0" fontId="65"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66" fillId="0" borderId="0"/>
    <xf numFmtId="0" fontId="36"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72" fontId="57" fillId="0" borderId="0" applyFont="0" applyFill="0" applyBorder="0" applyAlignment="0" applyProtection="0"/>
    <xf numFmtId="0" fontId="68" fillId="0" borderId="0"/>
    <xf numFmtId="42" fontId="51" fillId="0" borderId="0" applyFont="0" applyFill="0" applyBorder="0" applyAlignment="0" applyProtection="0"/>
    <xf numFmtId="181" fontId="57"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0" fontId="35" fillId="0" borderId="0"/>
    <xf numFmtId="184"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0" fontId="68" fillId="0" borderId="0"/>
    <xf numFmtId="0" fontId="68" fillId="0" borderId="0"/>
    <xf numFmtId="0" fontId="68" fillId="0" borderId="0"/>
    <xf numFmtId="0" fontId="68" fillId="0" borderId="0"/>
    <xf numFmtId="0" fontId="35" fillId="0" borderId="0"/>
    <xf numFmtId="0" fontId="68" fillId="0" borderId="0"/>
    <xf numFmtId="42" fontId="51" fillId="0" borderId="0" applyFont="0" applyFill="0" applyBorder="0" applyAlignment="0" applyProtection="0"/>
    <xf numFmtId="0" fontId="35" fillId="0" borderId="0"/>
    <xf numFmtId="0" fontId="35" fillId="0" borderId="0"/>
    <xf numFmtId="0" fontId="35" fillId="0" borderId="0"/>
    <xf numFmtId="177" fontId="54" fillId="0" borderId="0" applyFont="0" applyFill="0" applyBorder="0" applyAlignment="0" applyProtection="0"/>
    <xf numFmtId="177" fontId="54" fillId="0" borderId="0" applyFont="0" applyFill="0" applyBorder="0" applyAlignment="0" applyProtection="0"/>
    <xf numFmtId="0" fontId="35" fillId="0" borderId="0"/>
    <xf numFmtId="0" fontId="35" fillId="0" borderId="0"/>
    <xf numFmtId="0" fontId="68" fillId="0" borderId="0"/>
    <xf numFmtId="186" fontId="54" fillId="0" borderId="0" applyFont="0" applyFill="0" applyBorder="0" applyAlignment="0" applyProtection="0"/>
    <xf numFmtId="42" fontId="51" fillId="0" borderId="0" applyFont="0" applyFill="0" applyBorder="0" applyAlignment="0" applyProtection="0"/>
    <xf numFmtId="0" fontId="68" fillId="0" borderId="0"/>
    <xf numFmtId="0" fontId="47" fillId="0" borderId="0" applyNumberFormat="0" applyFill="0" applyBorder="0" applyAlignment="0" applyProtection="0"/>
    <xf numFmtId="42" fontId="51"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168" fontId="54"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2" fontId="54"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42" fontId="51" fillId="0" borderId="0" applyFont="0" applyFill="0" applyBorder="0" applyAlignment="0" applyProtection="0"/>
    <xf numFmtId="185"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68"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42" fontId="51" fillId="0" borderId="0" applyFont="0" applyFill="0" applyBorder="0" applyAlignment="0" applyProtection="0"/>
    <xf numFmtId="185"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72" fontId="54" fillId="0" borderId="0" applyFont="0" applyFill="0" applyBorder="0" applyAlignment="0" applyProtection="0"/>
    <xf numFmtId="168"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2" fontId="54"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0" fontId="35" fillId="0" borderId="0"/>
    <xf numFmtId="185" fontId="51" fillId="0" borderId="0" applyFont="0" applyFill="0" applyBorder="0" applyAlignment="0" applyProtection="0"/>
    <xf numFmtId="0" fontId="59" fillId="0" borderId="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0" fontId="68" fillId="0" borderId="0"/>
    <xf numFmtId="172"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168" fontId="54" fillId="0" borderId="0" applyFont="0" applyFill="0" applyBorder="0" applyAlignment="0" applyProtection="0"/>
    <xf numFmtId="0" fontId="68" fillId="0" borderId="0"/>
    <xf numFmtId="42" fontId="51" fillId="0" borderId="0" applyFont="0" applyFill="0" applyBorder="0" applyAlignment="0" applyProtection="0"/>
    <xf numFmtId="0" fontId="35" fillId="0" borderId="0"/>
    <xf numFmtId="0" fontId="17" fillId="0" borderId="0" applyNumberFormat="0" applyFill="0" applyBorder="0" applyAlignment="0" applyProtection="0"/>
    <xf numFmtId="42" fontId="51" fillId="0" borderId="0" applyFont="0" applyFill="0" applyBorder="0" applyAlignment="0" applyProtection="0"/>
    <xf numFmtId="0" fontId="35" fillId="0" borderId="0"/>
    <xf numFmtId="0" fontId="35" fillId="0" borderId="0"/>
    <xf numFmtId="0" fontId="35" fillId="0" borderId="0"/>
    <xf numFmtId="0" fontId="35" fillId="0" borderId="0"/>
    <xf numFmtId="199" fontId="69" fillId="0" borderId="0" applyFont="0" applyFill="0" applyBorder="0" applyAlignment="0" applyProtection="0"/>
    <xf numFmtId="0" fontId="70" fillId="0" borderId="0"/>
    <xf numFmtId="0" fontId="70" fillId="0" borderId="0"/>
    <xf numFmtId="0" fontId="70" fillId="0" borderId="0"/>
    <xf numFmtId="0" fontId="67" fillId="0" borderId="0" applyNumberFormat="0" applyFill="0" applyBorder="0" applyAlignment="0" applyProtection="0">
      <alignment vertical="top"/>
      <protection locked="0"/>
    </xf>
    <xf numFmtId="203" fontId="79" fillId="0" borderId="0" applyFont="0" applyFill="0" applyBorder="0" applyAlignment="0" applyProtection="0"/>
    <xf numFmtId="204" fontId="79" fillId="0" borderId="0" applyFont="0" applyFill="0" applyBorder="0" applyAlignment="0" applyProtection="0"/>
    <xf numFmtId="226" fontId="95" fillId="0" borderId="0" applyFont="0" applyFill="0" applyBorder="0" applyAlignment="0" applyProtection="0"/>
    <xf numFmtId="179" fontId="95" fillId="0" borderId="0" applyFont="0" applyFill="0" applyBorder="0" applyAlignment="0" applyProtection="0"/>
    <xf numFmtId="0" fontId="98" fillId="0" borderId="0" applyNumberFormat="0" applyFill="0" applyBorder="0" applyAlignment="0" applyProtection="0">
      <alignment vertical="top"/>
      <protection locked="0"/>
    </xf>
    <xf numFmtId="0" fontId="119" fillId="0" borderId="0"/>
    <xf numFmtId="0" fontId="71" fillId="5" borderId="0"/>
    <xf numFmtId="0" fontId="71" fillId="5" borderId="0"/>
    <xf numFmtId="9" fontId="72" fillId="0" borderId="0" applyBorder="0" applyAlignment="0" applyProtection="0"/>
    <xf numFmtId="0" fontId="73" fillId="5" borderId="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74" fillId="6" borderId="0" applyNumberFormat="0" applyBorder="0" applyAlignment="0" applyProtection="0">
      <alignment vertical="center"/>
    </xf>
    <xf numFmtId="0" fontId="74" fillId="7" borderId="0" applyNumberFormat="0" applyBorder="0" applyAlignment="0" applyProtection="0">
      <alignment vertical="center"/>
    </xf>
    <xf numFmtId="0" fontId="74" fillId="8"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11" borderId="0" applyNumberFormat="0" applyBorder="0" applyAlignment="0" applyProtection="0">
      <alignment vertical="center"/>
    </xf>
    <xf numFmtId="0" fontId="75" fillId="5" borderId="0"/>
    <xf numFmtId="0" fontId="76" fillId="0" borderId="0">
      <alignment wrapText="1"/>
    </xf>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9" borderId="0" applyNumberFormat="0" applyBorder="0" applyAlignment="0" applyProtection="0"/>
    <xf numFmtId="0" fontId="20" fillId="12" borderId="0" applyNumberFormat="0" applyBorder="0" applyAlignment="0" applyProtection="0"/>
    <xf numFmtId="0" fontId="20" fillId="15" borderId="0" applyNumberFormat="0" applyBorder="0" applyAlignment="0" applyProtection="0"/>
    <xf numFmtId="0" fontId="74" fillId="12"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9"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22" fillId="16"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77" fillId="16" borderId="0" applyNumberFormat="0" applyBorder="0" applyAlignment="0" applyProtection="0">
      <alignment vertical="center"/>
    </xf>
    <xf numFmtId="0" fontId="77" fillId="13" borderId="0" applyNumberFormat="0" applyBorder="0" applyAlignment="0" applyProtection="0">
      <alignment vertical="center"/>
    </xf>
    <xf numFmtId="0" fontId="77" fillId="14"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19" borderId="0" applyNumberFormat="0" applyBorder="0" applyAlignment="0" applyProtection="0">
      <alignment vertical="center"/>
    </xf>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23" borderId="0" applyNumberFormat="0" applyBorder="0" applyAlignment="0" applyProtection="0"/>
    <xf numFmtId="200" fontId="17" fillId="0" borderId="0" applyFont="0" applyFill="0" applyBorder="0" applyAlignment="0" applyProtection="0"/>
    <xf numFmtId="0" fontId="78" fillId="0" borderId="0" applyFont="0" applyFill="0" applyBorder="0" applyAlignment="0" applyProtection="0"/>
    <xf numFmtId="201" fontId="54" fillId="0" borderId="0" applyFont="0" applyFill="0" applyBorder="0" applyAlignment="0" applyProtection="0"/>
    <xf numFmtId="202" fontId="17" fillId="0" borderId="0" applyFont="0" applyFill="0" applyBorder="0" applyAlignment="0" applyProtection="0"/>
    <xf numFmtId="0" fontId="78" fillId="0" borderId="0" applyFont="0" applyFill="0" applyBorder="0" applyAlignment="0" applyProtection="0"/>
    <xf numFmtId="200" fontId="54" fillId="0" borderId="0" applyFont="0" applyFill="0" applyBorder="0" applyAlignment="0" applyProtection="0"/>
    <xf numFmtId="0" fontId="80" fillId="0" borderId="0">
      <alignment horizontal="center" wrapText="1"/>
      <protection locked="0"/>
    </xf>
    <xf numFmtId="175" fontId="81" fillId="0" borderId="0" applyFont="0" applyFill="0" applyBorder="0" applyAlignment="0" applyProtection="0"/>
    <xf numFmtId="0" fontId="78" fillId="0" borderId="0" applyFont="0" applyFill="0" applyBorder="0" applyAlignment="0" applyProtection="0"/>
    <xf numFmtId="175" fontId="82" fillId="0" borderId="0" applyFont="0" applyFill="0" applyBorder="0" applyAlignment="0" applyProtection="0"/>
    <xf numFmtId="174" fontId="81" fillId="0" borderId="0" applyFont="0" applyFill="0" applyBorder="0" applyAlignment="0" applyProtection="0"/>
    <xf numFmtId="0" fontId="78" fillId="0" borderId="0" applyFont="0" applyFill="0" applyBorder="0" applyAlignment="0" applyProtection="0"/>
    <xf numFmtId="174" fontId="82" fillId="0" borderId="0" applyFont="0" applyFill="0" applyBorder="0" applyAlignment="0" applyProtection="0"/>
    <xf numFmtId="177" fontId="54" fillId="0" borderId="0" applyFont="0" applyFill="0" applyBorder="0" applyAlignment="0" applyProtection="0"/>
    <xf numFmtId="0" fontId="23" fillId="7" borderId="0" applyNumberFormat="0" applyBorder="0" applyAlignment="0" applyProtection="0"/>
    <xf numFmtId="0" fontId="83" fillId="0" borderId="0" applyNumberFormat="0" applyFill="0" applyBorder="0" applyAlignment="0" applyProtection="0"/>
    <xf numFmtId="0" fontId="78" fillId="0" borderId="0"/>
    <xf numFmtId="0" fontId="52" fillId="0" borderId="0"/>
    <xf numFmtId="0" fontId="78" fillId="0" borderId="0"/>
    <xf numFmtId="0" fontId="84" fillId="0" borderId="0"/>
    <xf numFmtId="205" fontId="17" fillId="0" borderId="0" applyFill="0" applyBorder="0" applyAlignment="0"/>
    <xf numFmtId="206" fontId="17" fillId="0" borderId="0" applyFill="0" applyBorder="0" applyAlignment="0"/>
    <xf numFmtId="207" fontId="17" fillId="0" borderId="0" applyFill="0" applyBorder="0" applyAlignment="0"/>
    <xf numFmtId="208" fontId="17" fillId="0" borderId="0" applyFill="0" applyBorder="0" applyAlignment="0"/>
    <xf numFmtId="209"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24" fillId="24" borderId="17" applyNumberFormat="0" applyAlignment="0" applyProtection="0"/>
    <xf numFmtId="0" fontId="37" fillId="0" borderId="0"/>
    <xf numFmtId="212" fontId="51" fillId="0" borderId="0" applyFont="0" applyFill="0" applyBorder="0" applyAlignment="0" applyProtection="0"/>
    <xf numFmtId="213" fontId="53" fillId="25" borderId="1">
      <alignment horizontal="center" vertical="center"/>
    </xf>
    <xf numFmtId="210" fontId="17" fillId="0" borderId="0" applyFont="0" applyFill="0" applyBorder="0" applyAlignment="0" applyProtection="0"/>
    <xf numFmtId="164" fontId="20"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51" fillId="0" borderId="0" applyFont="0" applyFill="0" applyBorder="0" applyAlignment="0" applyProtection="0"/>
    <xf numFmtId="170" fontId="17" fillId="0" borderId="0" applyFont="0" applyFill="0" applyBorder="0" applyAlignment="0" applyProtection="0"/>
    <xf numFmtId="164" fontId="59" fillId="0" borderId="0" applyFont="0" applyFill="0" applyBorder="0" applyAlignment="0" applyProtection="0"/>
    <xf numFmtId="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17" fillId="0" borderId="0" applyFont="0" applyFill="0" applyBorder="0" applyAlignment="0" applyProtection="0"/>
    <xf numFmtId="164" fontId="145" fillId="0" borderId="0" applyFont="0" applyFill="0" applyBorder="0" applyAlignment="0" applyProtection="0"/>
    <xf numFmtId="0"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8" fontId="86" fillId="0" borderId="0" applyFont="0" applyFill="0" applyBorder="0" applyAlignment="0" applyProtection="0"/>
    <xf numFmtId="183" fontId="17" fillId="0" borderId="0" applyFont="0" applyFill="0" applyBorder="0" applyAlignment="0" applyProtection="0"/>
    <xf numFmtId="164" fontId="59" fillId="0" borderId="0" applyFont="0" applyFill="0" applyBorder="0" applyAlignment="0" applyProtection="0"/>
    <xf numFmtId="164" fontId="47" fillId="0" borderId="0" applyFont="0" applyFill="0" applyBorder="0" applyAlignment="0" applyProtection="0"/>
    <xf numFmtId="177" fontId="17" fillId="0" borderId="0"/>
    <xf numFmtId="3" fontId="17" fillId="0" borderId="0" applyFont="0" applyFill="0" applyBorder="0" applyAlignment="0" applyProtection="0"/>
    <xf numFmtId="0" fontId="87" fillId="0" borderId="0" applyNumberFormat="0" applyAlignment="0">
      <alignment horizontal="left"/>
    </xf>
    <xf numFmtId="0" fontId="42" fillId="0" borderId="0" applyNumberFormat="0" applyAlignment="0"/>
    <xf numFmtId="206" fontId="17" fillId="0" borderId="0" applyFont="0" applyFill="0" applyBorder="0" applyAlignment="0" applyProtection="0"/>
    <xf numFmtId="214" fontId="17" fillId="0" borderId="0" applyFont="0" applyFill="0" applyBorder="0" applyAlignment="0" applyProtection="0"/>
    <xf numFmtId="173" fontId="17" fillId="0" borderId="0" applyFont="0" applyFill="0" applyBorder="0" applyAlignment="0" applyProtection="0"/>
    <xf numFmtId="215" fontId="17" fillId="0" borderId="0"/>
    <xf numFmtId="0" fontId="25" fillId="26" borderId="18" applyNumberFormat="0" applyAlignment="0" applyProtection="0"/>
    <xf numFmtId="172" fontId="57" fillId="0" borderId="0" applyFont="0" applyFill="0" applyBorder="0" applyAlignment="0" applyProtection="0"/>
    <xf numFmtId="1" fontId="85" fillId="0" borderId="13" applyBorder="0"/>
    <xf numFmtId="175" fontId="88" fillId="0" borderId="0" applyFont="0" applyFill="0" applyBorder="0" applyAlignment="0" applyProtection="0"/>
    <xf numFmtId="175" fontId="43" fillId="0" borderId="0" applyFont="0" applyFill="0" applyBorder="0" applyAlignment="0" applyProtection="0"/>
    <xf numFmtId="0" fontId="17" fillId="0" borderId="0" applyFont="0" applyFill="0" applyBorder="0" applyAlignment="0" applyProtection="0"/>
    <xf numFmtId="14" fontId="89" fillId="0" borderId="0" applyFill="0" applyBorder="0" applyAlignment="0"/>
    <xf numFmtId="0" fontId="90" fillId="0" borderId="0">
      <protection locked="0"/>
    </xf>
    <xf numFmtId="216" fontId="91" fillId="0" borderId="0" applyFont="0" applyFill="0" applyBorder="0" applyAlignment="0" applyProtection="0"/>
    <xf numFmtId="4" fontId="35" fillId="0" borderId="0" applyFont="0" applyFill="0" applyBorder="0" applyAlignment="0" applyProtection="0"/>
    <xf numFmtId="217" fontId="17" fillId="0" borderId="0"/>
    <xf numFmtId="218" fontId="92" fillId="0" borderId="0" applyFont="0" applyFill="0" applyBorder="0" applyAlignment="0" applyProtection="0"/>
    <xf numFmtId="219" fontId="92" fillId="0" borderId="0" applyFont="0" applyFill="0" applyBorder="0" applyAlignment="0" applyProtection="0"/>
    <xf numFmtId="218" fontId="92" fillId="0" borderId="0" applyFont="0" applyFill="0" applyBorder="0" applyAlignment="0" applyProtection="0"/>
    <xf numFmtId="167" fontId="92"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18"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1" fontId="57" fillId="0" borderId="0" applyFont="0" applyFill="0" applyBorder="0" applyAlignment="0" applyProtection="0"/>
    <xf numFmtId="221" fontId="57" fillId="0" borderId="0" applyFont="0" applyFill="0" applyBorder="0" applyAlignment="0" applyProtection="0"/>
    <xf numFmtId="222" fontId="57" fillId="0" borderId="0" applyFont="0" applyFill="0" applyBorder="0" applyAlignment="0" applyProtection="0"/>
    <xf numFmtId="222" fontId="57"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219" fontId="92" fillId="0" borderId="0" applyFont="0" applyFill="0" applyBorder="0" applyAlignment="0" applyProtection="0"/>
    <xf numFmtId="164" fontId="92"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19"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4" fontId="57" fillId="0" borderId="0" applyFont="0" applyFill="0" applyBorder="0" applyAlignment="0" applyProtection="0"/>
    <xf numFmtId="224" fontId="57" fillId="0" borderId="0" applyFont="0" applyFill="0" applyBorder="0" applyAlignment="0" applyProtection="0"/>
    <xf numFmtId="225" fontId="57" fillId="0" borderId="0" applyFont="0" applyFill="0" applyBorder="0" applyAlignment="0" applyProtection="0"/>
    <xf numFmtId="225" fontId="57"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93" fillId="0" borderId="0" applyNumberFormat="0" applyAlignment="0">
      <alignment horizontal="left"/>
    </xf>
    <xf numFmtId="0" fontId="94" fillId="0" borderId="0"/>
    <xf numFmtId="0" fontId="26" fillId="0" borderId="0" applyNumberFormat="0" applyFill="0" applyBorder="0" applyAlignment="0" applyProtection="0"/>
    <xf numFmtId="2" fontId="17" fillId="0" borderId="0" applyFont="0" applyFill="0" applyBorder="0" applyAlignment="0" applyProtection="0"/>
    <xf numFmtId="0" fontId="27" fillId="8" borderId="0" applyNumberFormat="0" applyBorder="0" applyAlignment="0" applyProtection="0"/>
    <xf numFmtId="38" fontId="21" fillId="28" borderId="0" applyNumberFormat="0" applyBorder="0" applyAlignment="0" applyProtection="0"/>
    <xf numFmtId="227" fontId="53" fillId="5" borderId="0" applyBorder="0" applyProtection="0"/>
    <xf numFmtId="0" fontId="96" fillId="0" borderId="0" applyNumberFormat="0" applyFont="0" applyBorder="0" applyAlignment="0">
      <alignment horizontal="left" vertical="center"/>
    </xf>
    <xf numFmtId="0" fontId="38" fillId="0" borderId="0">
      <alignment horizontal="left"/>
    </xf>
    <xf numFmtId="0" fontId="39" fillId="0" borderId="24" applyNumberFormat="0" applyAlignment="0" applyProtection="0">
      <alignment horizontal="left" vertical="center"/>
    </xf>
    <xf numFmtId="0" fontId="39" fillId="0" borderId="11">
      <alignment horizontal="left" vertical="center"/>
    </xf>
    <xf numFmtId="0" fontId="40" fillId="0" borderId="0" applyNumberFormat="0" applyFill="0" applyBorder="0" applyAlignment="0" applyProtection="0"/>
    <xf numFmtId="0" fontId="39" fillId="0" borderId="0" applyNumberFormat="0" applyFill="0" applyBorder="0" applyAlignment="0" applyProtection="0"/>
    <xf numFmtId="0" fontId="28" fillId="0" borderId="21" applyNumberFormat="0" applyFill="0" applyAlignment="0" applyProtection="0"/>
    <xf numFmtId="0" fontId="28" fillId="0" borderId="0" applyNumberFormat="0" applyFill="0" applyBorder="0" applyAlignment="0" applyProtection="0"/>
    <xf numFmtId="228" fontId="54" fillId="0" borderId="0">
      <protection locked="0"/>
    </xf>
    <xf numFmtId="228" fontId="54" fillId="0" borderId="0">
      <protection locked="0"/>
    </xf>
    <xf numFmtId="0" fontId="52" fillId="0" borderId="0"/>
    <xf numFmtId="172" fontId="57" fillId="0" borderId="0" applyFont="0" applyFill="0" applyBorder="0" applyAlignment="0" applyProtection="0"/>
    <xf numFmtId="38" fontId="68" fillId="0" borderId="0" applyFont="0" applyFill="0" applyBorder="0" applyAlignment="0" applyProtection="0"/>
    <xf numFmtId="181" fontId="51" fillId="0" borderId="0" applyFont="0" applyFill="0" applyBorder="0" applyAlignment="0" applyProtection="0"/>
    <xf numFmtId="229" fontId="97" fillId="0" borderId="0" applyFont="0" applyFill="0" applyBorder="0" applyAlignment="0" applyProtection="0"/>
    <xf numFmtId="10" fontId="21" fillId="28" borderId="1" applyNumberFormat="0" applyBorder="0" applyAlignment="0" applyProtection="0"/>
    <xf numFmtId="0" fontId="29" fillId="11" borderId="17" applyNumberFormat="0" applyAlignment="0" applyProtection="0"/>
    <xf numFmtId="0" fontId="29" fillId="11" borderId="17" applyNumberFormat="0" applyAlignment="0" applyProtection="0"/>
    <xf numFmtId="205" fontId="17" fillId="29" borderId="0"/>
    <xf numFmtId="172" fontId="57" fillId="0" borderId="0" applyFont="0" applyFill="0" applyBorder="0" applyAlignment="0" applyProtection="0"/>
    <xf numFmtId="0" fontId="57" fillId="0" borderId="0"/>
    <xf numFmtId="0" fontId="17" fillId="0" borderId="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30" fillId="0" borderId="25" applyNumberFormat="0" applyFill="0" applyAlignment="0" applyProtection="0"/>
    <xf numFmtId="205" fontId="17" fillId="30" borderId="0"/>
    <xf numFmtId="3" fontId="11" fillId="0" borderId="11">
      <alignment horizontal="centerContinuous"/>
    </xf>
    <xf numFmtId="38" fontId="68" fillId="0" borderId="0" applyFont="0" applyFill="0" applyBorder="0" applyAlignment="0" applyProtection="0"/>
    <xf numFmtId="40" fontId="68" fillId="0" borderId="0" applyFont="0" applyFill="0" applyBorder="0" applyAlignment="0" applyProtection="0"/>
    <xf numFmtId="230" fontId="51" fillId="0" borderId="0" applyFont="0" applyFill="0" applyBorder="0" applyAlignment="0" applyProtection="0"/>
    <xf numFmtId="231" fontId="51" fillId="0" borderId="0" applyFont="0" applyFill="0" applyBorder="0" applyAlignment="0" applyProtection="0"/>
    <xf numFmtId="0" fontId="41" fillId="0" borderId="26"/>
    <xf numFmtId="0" fontId="17" fillId="0" borderId="0" applyFont="0" applyFill="0" applyBorder="0" applyAlignment="0" applyProtection="0"/>
    <xf numFmtId="232" fontId="51" fillId="0" borderId="0" applyFont="0" applyFill="0" applyBorder="0" applyAlignment="0" applyProtection="0"/>
    <xf numFmtId="233" fontId="68" fillId="0" borderId="0" applyFont="0" applyFill="0" applyBorder="0" applyAlignment="0" applyProtection="0"/>
    <xf numFmtId="234" fontId="68" fillId="0" borderId="0" applyFont="0" applyFill="0" applyBorder="0" applyAlignment="0" applyProtection="0"/>
    <xf numFmtId="14" fontId="17" fillId="0" borderId="0" applyFont="0" applyFill="0" applyBorder="0" applyAlignment="0" applyProtection="0"/>
    <xf numFmtId="169" fontId="17" fillId="0" borderId="0" applyFont="0" applyFill="0" applyBorder="0" applyAlignment="0" applyProtection="0"/>
    <xf numFmtId="0" fontId="55" fillId="0" borderId="0" applyNumberFormat="0" applyFont="0" applyFill="0" applyAlignment="0"/>
    <xf numFmtId="0" fontId="55" fillId="0" borderId="0" applyNumberFormat="0" applyFont="0" applyFill="0" applyAlignment="0"/>
    <xf numFmtId="0" fontId="31" fillId="31" borderId="0" applyNumberFormat="0" applyBorder="0" applyAlignment="0" applyProtection="0"/>
    <xf numFmtId="0" fontId="52" fillId="0" borderId="0"/>
    <xf numFmtId="37" fontId="99" fillId="0" borderId="0"/>
    <xf numFmtId="0" fontId="42" fillId="0" borderId="0"/>
    <xf numFmtId="0" fontId="100" fillId="0" borderId="1" applyNumberFormat="0" applyFont="0" applyFill="0" applyBorder="0" applyAlignment="0">
      <alignment horizontal="center"/>
    </xf>
    <xf numFmtId="0" fontId="43"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43" fillId="0" borderId="0"/>
    <xf numFmtId="0" fontId="17" fillId="0" borderId="0"/>
    <xf numFmtId="0" fontId="17" fillId="0" borderId="0"/>
    <xf numFmtId="0" fontId="17" fillId="0" borderId="0"/>
    <xf numFmtId="0" fontId="17" fillId="0" borderId="0"/>
    <xf numFmtId="0" fontId="17" fillId="0" borderId="0"/>
    <xf numFmtId="0" fontId="2" fillId="0" borderId="0"/>
    <xf numFmtId="0" fontId="85" fillId="0" borderId="0"/>
    <xf numFmtId="0" fontId="17" fillId="0" borderId="0"/>
    <xf numFmtId="0" fontId="17" fillId="0" borderId="0"/>
    <xf numFmtId="0" fontId="56" fillId="0" borderId="0"/>
    <xf numFmtId="0" fontId="56" fillId="0" borderId="0"/>
    <xf numFmtId="0" fontId="17" fillId="0" borderId="0"/>
    <xf numFmtId="0" fontId="57" fillId="0" borderId="0"/>
    <xf numFmtId="0" fontId="52" fillId="0" borderId="0"/>
    <xf numFmtId="0" fontId="2" fillId="0" borderId="0"/>
    <xf numFmtId="0" fontId="17" fillId="0" borderId="0"/>
    <xf numFmtId="0" fontId="17" fillId="0" borderId="0" applyNumberFormat="0" applyFont="0" applyFill="0" applyBorder="0" applyAlignment="0" applyProtection="0">
      <alignment vertical="top"/>
    </xf>
    <xf numFmtId="0" fontId="17" fillId="0" borderId="0"/>
    <xf numFmtId="0" fontId="57" fillId="0" borderId="0"/>
    <xf numFmtId="0" fontId="92" fillId="0" borderId="0"/>
    <xf numFmtId="0" fontId="17" fillId="27" borderId="23" applyNumberFormat="0" applyFont="0" applyAlignment="0" applyProtection="0"/>
    <xf numFmtId="213" fontId="102" fillId="0" borderId="0" applyFont="0" applyFill="0" applyBorder="0" applyProtection="0">
      <alignment vertical="top" wrapText="1"/>
    </xf>
    <xf numFmtId="0" fontId="17" fillId="0" borderId="0" applyFont="0" applyFill="0" applyBorder="0" applyAlignment="0" applyProtection="0"/>
    <xf numFmtId="0" fontId="52" fillId="0" borderId="0"/>
    <xf numFmtId="0" fontId="32" fillId="24" borderId="22" applyNumberFormat="0" applyAlignment="0" applyProtection="0"/>
    <xf numFmtId="14" fontId="80" fillId="0" borderId="0">
      <alignment horizontal="center" wrapText="1"/>
      <protection locked="0"/>
    </xf>
    <xf numFmtId="209" fontId="17" fillId="0" borderId="0" applyFont="0" applyFill="0" applyBorder="0" applyAlignment="0" applyProtection="0"/>
    <xf numFmtId="235" fontId="17" fillId="0" borderId="0" applyFont="0" applyFill="0" applyBorder="0" applyAlignment="0" applyProtection="0"/>
    <xf numFmtId="10" fontId="17"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47" fillId="0" borderId="0" applyFont="0" applyFill="0" applyBorder="0" applyAlignment="0" applyProtection="0"/>
    <xf numFmtId="9" fontId="59" fillId="0" borderId="0" applyFill="0" applyBorder="0" applyAlignment="0" applyProtection="0"/>
    <xf numFmtId="9" fontId="20" fillId="0" borderId="0" applyFont="0" applyFill="0" applyBorder="0" applyAlignment="0" applyProtection="0"/>
    <xf numFmtId="9" fontId="59" fillId="0" borderId="0" applyFont="0" applyFill="0" applyBorder="0" applyAlignment="0" applyProtection="0"/>
    <xf numFmtId="9" fontId="11" fillId="0" borderId="0" applyFont="0" applyFill="0" applyBorder="0" applyAlignment="0" applyProtection="0"/>
    <xf numFmtId="9" fontId="68" fillId="0" borderId="27" applyNumberFormat="0" applyBorder="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224" fontId="103" fillId="0" borderId="0"/>
    <xf numFmtId="0" fontId="68" fillId="0" borderId="0" applyNumberFormat="0" applyFont="0" applyFill="0" applyBorder="0" applyAlignment="0" applyProtection="0">
      <alignment horizontal="left"/>
    </xf>
    <xf numFmtId="236" fontId="17" fillId="0" borderId="0" applyNumberFormat="0" applyFill="0" applyBorder="0" applyAlignment="0" applyProtection="0">
      <alignment horizontal="left"/>
    </xf>
    <xf numFmtId="181" fontId="51" fillId="0" borderId="0" applyFont="0" applyFill="0" applyBorder="0" applyAlignment="0" applyProtection="0"/>
    <xf numFmtId="3" fontId="51" fillId="0" borderId="15">
      <alignment horizontal="right" wrapText="1"/>
    </xf>
    <xf numFmtId="4" fontId="104" fillId="32" borderId="28" applyNumberFormat="0" applyProtection="0">
      <alignment vertical="center"/>
    </xf>
    <xf numFmtId="4" fontId="105" fillId="32" borderId="28" applyNumberFormat="0" applyProtection="0">
      <alignment vertical="center"/>
    </xf>
    <xf numFmtId="4" fontId="106" fillId="32" borderId="28" applyNumberFormat="0" applyProtection="0">
      <alignment horizontal="left" vertical="center"/>
    </xf>
    <xf numFmtId="4" fontId="106" fillId="33" borderId="0" applyNumberFormat="0" applyProtection="0">
      <alignment horizontal="left" vertical="center"/>
    </xf>
    <xf numFmtId="4" fontId="106" fillId="34" borderId="28" applyNumberFormat="0" applyProtection="0">
      <alignment horizontal="right" vertical="center"/>
    </xf>
    <xf numFmtId="4" fontId="106" fillId="35" borderId="28" applyNumberFormat="0" applyProtection="0">
      <alignment horizontal="right" vertical="center"/>
    </xf>
    <xf numFmtId="4" fontId="106" fillId="36" borderId="28" applyNumberFormat="0" applyProtection="0">
      <alignment horizontal="right" vertical="center"/>
    </xf>
    <xf numFmtId="4" fontId="106" fillId="37" borderId="28" applyNumberFormat="0" applyProtection="0">
      <alignment horizontal="right" vertical="center"/>
    </xf>
    <xf numFmtId="4" fontId="106" fillId="38" borderId="28" applyNumberFormat="0" applyProtection="0">
      <alignment horizontal="right" vertical="center"/>
    </xf>
    <xf numFmtId="4" fontId="106" fillId="5" borderId="28" applyNumberFormat="0" applyProtection="0">
      <alignment horizontal="right" vertical="center"/>
    </xf>
    <xf numFmtId="4" fontId="106" fillId="39" borderId="28" applyNumberFormat="0" applyProtection="0">
      <alignment horizontal="right" vertical="center"/>
    </xf>
    <xf numFmtId="4" fontId="106" fillId="40" borderId="28" applyNumberFormat="0" applyProtection="0">
      <alignment horizontal="right" vertical="center"/>
    </xf>
    <xf numFmtId="4" fontId="106" fillId="41" borderId="28" applyNumberFormat="0" applyProtection="0">
      <alignment horizontal="right" vertical="center"/>
    </xf>
    <xf numFmtId="4" fontId="104" fillId="42" borderId="29" applyNumberFormat="0" applyProtection="0">
      <alignment horizontal="left" vertical="center"/>
    </xf>
    <xf numFmtId="4" fontId="104" fillId="43" borderId="0" applyNumberFormat="0" applyProtection="0">
      <alignment horizontal="left" vertical="center"/>
    </xf>
    <xf numFmtId="4" fontId="104" fillId="33" borderId="0" applyNumberFormat="0" applyProtection="0">
      <alignment horizontal="left" vertical="center"/>
    </xf>
    <xf numFmtId="4" fontId="106" fillId="43" borderId="28" applyNumberFormat="0" applyProtection="0">
      <alignment horizontal="right" vertical="center"/>
    </xf>
    <xf numFmtId="4" fontId="89" fillId="43" borderId="0" applyNumberFormat="0" applyProtection="0">
      <alignment horizontal="left" vertical="center"/>
    </xf>
    <xf numFmtId="4" fontId="89" fillId="33" borderId="0" applyNumberFormat="0" applyProtection="0">
      <alignment horizontal="left" vertical="center"/>
    </xf>
    <xf numFmtId="4" fontId="106" fillId="44" borderId="28" applyNumberFormat="0" applyProtection="0">
      <alignment vertical="center"/>
    </xf>
    <xf numFmtId="4" fontId="107" fillId="44" borderId="28" applyNumberFormat="0" applyProtection="0">
      <alignment vertical="center"/>
    </xf>
    <xf numFmtId="4" fontId="104" fillId="43" borderId="30" applyNumberFormat="0" applyProtection="0">
      <alignment horizontal="left" vertical="center"/>
    </xf>
    <xf numFmtId="4" fontId="106" fillId="44" borderId="28" applyNumberFormat="0" applyProtection="0">
      <alignment horizontal="right" vertical="center"/>
    </xf>
    <xf numFmtId="4" fontId="107" fillId="44" borderId="28" applyNumberFormat="0" applyProtection="0">
      <alignment horizontal="right" vertical="center"/>
    </xf>
    <xf numFmtId="4" fontId="104" fillId="43" borderId="28" applyNumberFormat="0" applyProtection="0">
      <alignment horizontal="left" vertical="center"/>
    </xf>
    <xf numFmtId="4" fontId="108" fillId="45" borderId="30" applyNumberFormat="0" applyProtection="0">
      <alignment horizontal="left" vertical="center"/>
    </xf>
    <xf numFmtId="4" fontId="109" fillId="44" borderId="28" applyNumberFormat="0" applyProtection="0">
      <alignment horizontal="right" vertical="center"/>
    </xf>
    <xf numFmtId="0" fontId="110" fillId="0" borderId="0" applyNumberFormat="0" applyFill="0" applyBorder="0" applyAlignment="0" applyProtection="0">
      <alignment vertical="top"/>
      <protection locked="0"/>
    </xf>
    <xf numFmtId="0" fontId="17" fillId="0" borderId="0"/>
    <xf numFmtId="0" fontId="35" fillId="0" borderId="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93" fontId="51" fillId="0" borderId="0" applyFont="0" applyFill="0" applyBorder="0" applyAlignment="0" applyProtection="0"/>
    <xf numFmtId="196"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5" fontId="51" fillId="0" borderId="0" applyFont="0" applyFill="0" applyBorder="0" applyAlignment="0" applyProtection="0"/>
    <xf numFmtId="181"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7" fontId="51" fillId="0" borderId="0" applyFont="0" applyFill="0" applyBorder="0" applyAlignment="0" applyProtection="0"/>
    <xf numFmtId="185" fontId="51" fillId="0" borderId="0" applyFont="0" applyFill="0" applyBorder="0" applyAlignment="0" applyProtection="0"/>
    <xf numFmtId="185"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5" fontId="51" fillId="0" borderId="0" applyFont="0" applyFill="0" applyBorder="0" applyAlignment="0" applyProtection="0"/>
    <xf numFmtId="181" fontId="51" fillId="0" borderId="0" applyFont="0" applyFill="0" applyBorder="0" applyAlignment="0" applyProtection="0"/>
    <xf numFmtId="185"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5"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78"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14" fontId="111" fillId="0" borderId="0"/>
    <xf numFmtId="0" fontId="41" fillId="0" borderId="0"/>
    <xf numFmtId="213" fontId="53" fillId="5" borderId="11" applyProtection="0">
      <alignment vertical="center"/>
    </xf>
    <xf numFmtId="40" fontId="112" fillId="0" borderId="0" applyBorder="0">
      <alignment horizontal="right"/>
    </xf>
    <xf numFmtId="0" fontId="113" fillId="0" borderId="0"/>
    <xf numFmtId="214" fontId="114" fillId="0" borderId="2">
      <alignment horizontal="right" vertical="center"/>
    </xf>
    <xf numFmtId="237" fontId="57"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214" fontId="114" fillId="0" borderId="2">
      <alignment horizontal="right" vertical="center"/>
    </xf>
    <xf numFmtId="238" fontId="51"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8" fontId="51" fillId="0" borderId="2">
      <alignment horizontal="right" vertical="center"/>
    </xf>
    <xf numFmtId="239" fontId="57" fillId="0" borderId="2">
      <alignment horizontal="right" vertical="center"/>
    </xf>
    <xf numFmtId="238" fontId="51"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39" fontId="57" fillId="0" borderId="2">
      <alignment horizontal="right" vertical="center"/>
    </xf>
    <xf numFmtId="171" fontId="115"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14" fontId="114"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38" fontId="51" fillId="0" borderId="2">
      <alignment horizontal="right" vertical="center"/>
    </xf>
    <xf numFmtId="214" fontId="114" fillId="0" borderId="2">
      <alignment horizontal="right" vertical="center"/>
    </xf>
    <xf numFmtId="214" fontId="114" fillId="0" borderId="2">
      <alignment horizontal="right" vertical="center"/>
    </xf>
    <xf numFmtId="240" fontId="17" fillId="0" borderId="2">
      <alignment horizontal="right" vertical="center"/>
    </xf>
    <xf numFmtId="238" fontId="51" fillId="0" borderId="2">
      <alignment horizontal="right" vertical="center"/>
    </xf>
    <xf numFmtId="240" fontId="17" fillId="0" borderId="2">
      <alignment horizontal="right" vertical="center"/>
    </xf>
    <xf numFmtId="240" fontId="17" fillId="0" borderId="2">
      <alignment horizontal="right" vertical="center"/>
    </xf>
    <xf numFmtId="214" fontId="114"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38" fontId="51" fillId="0" borderId="2">
      <alignment horizontal="right" vertical="center"/>
    </xf>
    <xf numFmtId="238" fontId="51" fillId="0" borderId="2">
      <alignment horizontal="right" vertical="center"/>
    </xf>
    <xf numFmtId="214" fontId="114"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7"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171" fontId="115"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37" fontId="57" fillId="0" borderId="2">
      <alignment horizontal="right" vertical="center"/>
    </xf>
    <xf numFmtId="238" fontId="51" fillId="0" borderId="2">
      <alignment horizontal="right" vertical="center"/>
    </xf>
    <xf numFmtId="214" fontId="114" fillId="0" borderId="2">
      <alignment horizontal="right" vertical="center"/>
    </xf>
    <xf numFmtId="3" fontId="116" fillId="25" borderId="1" applyFill="0" applyAlignment="0" applyProtection="0">
      <alignment horizontal="justify" vertical="center"/>
    </xf>
    <xf numFmtId="49" fontId="89" fillId="0" borderId="0" applyFill="0" applyBorder="0" applyAlignment="0"/>
    <xf numFmtId="241" fontId="17" fillId="0" borderId="0" applyFill="0" applyBorder="0" applyAlignment="0"/>
    <xf numFmtId="242" fontId="17" fillId="0" borderId="0" applyFill="0" applyBorder="0" applyAlignment="0"/>
    <xf numFmtId="40" fontId="53" fillId="0" borderId="0"/>
    <xf numFmtId="0" fontId="33" fillId="0" borderId="0" applyNumberFormat="0" applyFill="0" applyBorder="0" applyAlignment="0" applyProtection="0"/>
    <xf numFmtId="4" fontId="44" fillId="0" borderId="0">
      <alignment horizontal="left" indent="1"/>
    </xf>
    <xf numFmtId="0" fontId="17" fillId="0" borderId="31" applyNumberFormat="0" applyFont="0" applyFill="0" applyAlignment="0" applyProtection="0"/>
    <xf numFmtId="0" fontId="117" fillId="0" borderId="33">
      <alignment horizontal="center"/>
    </xf>
    <xf numFmtId="172" fontId="17" fillId="0" borderId="0" applyFont="0" applyFill="0" applyBorder="0" applyAlignment="0" applyProtection="0"/>
    <xf numFmtId="243" fontId="17" fillId="0" borderId="0" applyFont="0" applyFill="0" applyBorder="0" applyAlignment="0" applyProtection="0"/>
    <xf numFmtId="183" fontId="114" fillId="0" borderId="2">
      <alignment horizontal="center"/>
    </xf>
    <xf numFmtId="224" fontId="97" fillId="0" borderId="0" applyFont="0" applyFill="0" applyBorder="0" applyAlignment="0" applyProtection="0"/>
    <xf numFmtId="177" fontId="17" fillId="0" borderId="0" applyFont="0" applyFill="0" applyBorder="0" applyAlignment="0" applyProtection="0"/>
    <xf numFmtId="244" fontId="17" fillId="0" borderId="0" applyFont="0" applyFill="0" applyBorder="0" applyAlignment="0" applyProtection="0"/>
    <xf numFmtId="245" fontId="114" fillId="0" borderId="0"/>
    <xf numFmtId="246" fontId="114" fillId="0" borderId="1"/>
    <xf numFmtId="0" fontId="44" fillId="0" borderId="0"/>
    <xf numFmtId="0" fontId="118" fillId="0" borderId="0"/>
    <xf numFmtId="0" fontId="91" fillId="0" borderId="0"/>
    <xf numFmtId="0" fontId="118" fillId="0" borderId="0"/>
    <xf numFmtId="5" fontId="47" fillId="0" borderId="4">
      <alignment horizontal="left" vertical="top"/>
    </xf>
    <xf numFmtId="0" fontId="48" fillId="0" borderId="4">
      <alignment horizontal="left" vertical="center"/>
    </xf>
    <xf numFmtId="0" fontId="45" fillId="46" borderId="1">
      <alignment horizontal="left" vertical="center"/>
    </xf>
    <xf numFmtId="5" fontId="46" fillId="0" borderId="12">
      <alignment horizontal="left" vertical="top"/>
    </xf>
    <xf numFmtId="247" fontId="91" fillId="0" borderId="0" applyFont="0" applyFill="0" applyBorder="0" applyAlignment="0" applyProtection="0"/>
    <xf numFmtId="248" fontId="17" fillId="0" borderId="0" applyFont="0" applyFill="0" applyBorder="0" applyAlignment="0" applyProtection="0"/>
    <xf numFmtId="42" fontId="92" fillId="0" borderId="0" applyFont="0" applyFill="0" applyBorder="0" applyAlignment="0" applyProtection="0"/>
    <xf numFmtId="44" fontId="92" fillId="0" borderId="0" applyFont="0" applyFill="0" applyBorder="0" applyAlignment="0" applyProtection="0"/>
    <xf numFmtId="0" fontId="34" fillId="0" borderId="0" applyNumberFormat="0" applyFill="0" applyBorder="0" applyAlignment="0" applyProtection="0"/>
    <xf numFmtId="0" fontId="120" fillId="0" borderId="0" applyNumberFormat="0" applyFill="0" applyBorder="0" applyAlignment="0" applyProtection="0"/>
    <xf numFmtId="172" fontId="57" fillId="0" borderId="0" applyFont="0" applyFill="0" applyBorder="0" applyAlignment="0" applyProtection="0"/>
    <xf numFmtId="177" fontId="121" fillId="0" borderId="0" applyFont="0" applyFill="0" applyBorder="0" applyAlignment="0" applyProtection="0"/>
    <xf numFmtId="249" fontId="121" fillId="0" borderId="0" applyFont="0" applyFill="0" applyBorder="0" applyAlignment="0" applyProtection="0"/>
    <xf numFmtId="0" fontId="121" fillId="0" borderId="0"/>
    <xf numFmtId="0" fontId="144" fillId="0" borderId="0" applyFont="0" applyFill="0" applyBorder="0" applyAlignment="0" applyProtection="0"/>
    <xf numFmtId="0" fontId="144" fillId="0" borderId="0" applyFont="0" applyFill="0" applyBorder="0" applyAlignment="0" applyProtection="0"/>
    <xf numFmtId="0" fontId="19" fillId="0" borderId="0">
      <alignment vertical="center"/>
    </xf>
    <xf numFmtId="40" fontId="49" fillId="0" borderId="0" applyFont="0" applyFill="0" applyBorder="0" applyAlignment="0" applyProtection="0"/>
    <xf numFmtId="38" fontId="49"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9" fontId="122" fillId="0" borderId="0" applyFont="0" applyFill="0" applyBorder="0" applyAlignment="0" applyProtection="0"/>
    <xf numFmtId="0" fontId="50" fillId="0" borderId="0"/>
    <xf numFmtId="250" fontId="123" fillId="0" borderId="0" applyFont="0" applyFill="0" applyBorder="0" applyAlignment="0" applyProtection="0"/>
    <xf numFmtId="251" fontId="17"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applyFont="0" applyFill="0" applyBorder="0" applyAlignment="0" applyProtection="0"/>
    <xf numFmtId="0" fontId="43" fillId="0" borderId="0" applyFont="0" applyFill="0" applyBorder="0" applyAlignment="0" applyProtection="0"/>
    <xf numFmtId="199" fontId="43" fillId="0" borderId="0" applyFont="0" applyFill="0" applyBorder="0" applyAlignment="0" applyProtection="0"/>
    <xf numFmtId="252" fontId="43" fillId="0" borderId="0" applyFont="0" applyFill="0" applyBorder="0" applyAlignment="0" applyProtection="0"/>
    <xf numFmtId="0" fontId="43" fillId="0" borderId="0"/>
    <xf numFmtId="0" fontId="128" fillId="0" borderId="0"/>
    <xf numFmtId="0" fontId="55" fillId="0" borderId="0"/>
    <xf numFmtId="0" fontId="124" fillId="31" borderId="0" applyNumberFormat="0" applyBorder="0" applyAlignment="0" applyProtection="0">
      <alignment vertical="center"/>
    </xf>
    <xf numFmtId="0" fontId="125" fillId="27" borderId="23" applyNumberFormat="0" applyFont="0" applyAlignment="0" applyProtection="0">
      <alignment vertical="center"/>
    </xf>
    <xf numFmtId="172" fontId="58" fillId="0" borderId="0" applyFont="0" applyFill="0" applyBorder="0" applyAlignment="0" applyProtection="0"/>
    <xf numFmtId="168" fontId="58" fillId="0" borderId="0" applyFont="0" applyFill="0" applyBorder="0" applyAlignment="0" applyProtection="0"/>
    <xf numFmtId="0" fontId="126" fillId="0" borderId="32" applyNumberFormat="0" applyFill="0" applyAlignment="0" applyProtection="0">
      <alignment vertical="center"/>
    </xf>
    <xf numFmtId="0" fontId="127" fillId="7" borderId="0" applyNumberFormat="0" applyBorder="0" applyAlignment="0" applyProtection="0">
      <alignment vertical="center"/>
    </xf>
    <xf numFmtId="0" fontId="129" fillId="8" borderId="0" applyNumberFormat="0" applyBorder="0" applyAlignment="0" applyProtection="0">
      <alignment vertical="center"/>
    </xf>
    <xf numFmtId="0" fontId="17" fillId="0" borderId="0"/>
    <xf numFmtId="164" fontId="17" fillId="0" borderId="0" applyFont="0" applyFill="0" applyBorder="0" applyAlignment="0" applyProtection="0"/>
    <xf numFmtId="167" fontId="17" fillId="0" borderId="0" applyFont="0" applyFill="0" applyBorder="0" applyAlignment="0" applyProtection="0"/>
    <xf numFmtId="203" fontId="79" fillId="0" borderId="0" applyFont="0" applyFill="0" applyBorder="0" applyAlignment="0" applyProtection="0"/>
    <xf numFmtId="204" fontId="79" fillId="0" borderId="0" applyFont="0" applyFill="0" applyBorder="0" applyAlignment="0" applyProtection="0"/>
    <xf numFmtId="0" fontId="17" fillId="0" borderId="0"/>
    <xf numFmtId="0" fontId="130" fillId="0" borderId="0" applyNumberFormat="0" applyFill="0" applyBorder="0" applyAlignment="0" applyProtection="0">
      <alignment vertical="center"/>
    </xf>
    <xf numFmtId="0" fontId="131" fillId="0" borderId="19" applyNumberFormat="0" applyFill="0" applyAlignment="0" applyProtection="0">
      <alignment vertical="center"/>
    </xf>
    <xf numFmtId="0" fontId="132" fillId="0" borderId="20" applyNumberFormat="0" applyFill="0" applyAlignment="0" applyProtection="0">
      <alignment vertical="center"/>
    </xf>
    <xf numFmtId="0" fontId="133" fillId="0" borderId="21" applyNumberFormat="0" applyFill="0" applyAlignment="0" applyProtection="0">
      <alignment vertical="center"/>
    </xf>
    <xf numFmtId="0" fontId="133" fillId="0" borderId="0" applyNumberFormat="0" applyFill="0" applyBorder="0" applyAlignment="0" applyProtection="0">
      <alignment vertical="center"/>
    </xf>
    <xf numFmtId="0" fontId="134" fillId="26" borderId="18" applyNumberFormat="0" applyAlignment="0" applyProtection="0">
      <alignment vertical="center"/>
    </xf>
    <xf numFmtId="226" fontId="135" fillId="0" borderId="0" applyFont="0" applyFill="0" applyBorder="0" applyAlignment="0" applyProtection="0"/>
    <xf numFmtId="179" fontId="135" fillId="0" borderId="0" applyFont="0" applyFill="0" applyBorder="0" applyAlignment="0" applyProtection="0"/>
    <xf numFmtId="0" fontId="136" fillId="24" borderId="17" applyNumberFormat="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177" fontId="58" fillId="0" borderId="0" applyFont="0" applyFill="0" applyBorder="0" applyAlignment="0" applyProtection="0"/>
    <xf numFmtId="237" fontId="64" fillId="0" borderId="0" applyFont="0" applyFill="0" applyBorder="0" applyAlignment="0" applyProtection="0"/>
    <xf numFmtId="249" fontId="58" fillId="0" borderId="0" applyFont="0" applyFill="0" applyBorder="0" applyAlignment="0" applyProtection="0"/>
    <xf numFmtId="0" fontId="139" fillId="0" borderId="0" applyNumberFormat="0" applyFill="0" applyBorder="0" applyAlignment="0" applyProtection="0">
      <alignment vertical="top"/>
      <protection locked="0"/>
    </xf>
    <xf numFmtId="0" fontId="77" fillId="20" borderId="0" applyNumberFormat="0" applyBorder="0" applyAlignment="0" applyProtection="0">
      <alignment vertical="center"/>
    </xf>
    <xf numFmtId="0" fontId="77" fillId="21" borderId="0" applyNumberFormat="0" applyBorder="0" applyAlignment="0" applyProtection="0">
      <alignment vertical="center"/>
    </xf>
    <xf numFmtId="0" fontId="77" fillId="22"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23" borderId="0" applyNumberFormat="0" applyBorder="0" applyAlignment="0" applyProtection="0">
      <alignment vertical="center"/>
    </xf>
    <xf numFmtId="0" fontId="140" fillId="11" borderId="17" applyNumberFormat="0" applyAlignment="0" applyProtection="0">
      <alignment vertical="center"/>
    </xf>
    <xf numFmtId="0" fontId="141" fillId="24" borderId="22" applyNumberFormat="0" applyAlignment="0" applyProtection="0">
      <alignment vertical="center"/>
    </xf>
    <xf numFmtId="44" fontId="17" fillId="0" borderId="0" applyFont="0" applyFill="0" applyBorder="0" applyAlignment="0" applyProtection="0"/>
    <xf numFmtId="42" fontId="17" fillId="0" borderId="0" applyFont="0" applyFill="0" applyBorder="0" applyAlignment="0" applyProtection="0"/>
    <xf numFmtId="0" fontId="142" fillId="0" borderId="25" applyNumberFormat="0" applyFill="0" applyAlignment="0" applyProtection="0">
      <alignment vertical="center"/>
    </xf>
    <xf numFmtId="0" fontId="143" fillId="0" borderId="0" applyNumberFormat="0" applyFill="0" applyBorder="0" applyAlignment="0" applyProtection="0">
      <alignment vertical="top"/>
      <protection locked="0"/>
    </xf>
    <xf numFmtId="0" fontId="11" fillId="0" borderId="0"/>
    <xf numFmtId="164" fontId="17" fillId="0" borderId="0" applyFont="0" applyFill="0" applyBorder="0" applyAlignment="0" applyProtection="0"/>
    <xf numFmtId="9" fontId="17" fillId="0" borderId="0" applyFont="0" applyFill="0" applyBorder="0" applyAlignment="0" applyProtection="0"/>
    <xf numFmtId="164" fontId="11" fillId="0" borderId="0" applyFont="0" applyFill="0" applyBorder="0" applyAlignment="0" applyProtection="0"/>
    <xf numFmtId="0" fontId="2" fillId="0" borderId="0"/>
    <xf numFmtId="9" fontId="148" fillId="0" borderId="0" applyFont="0" applyFill="0" applyBorder="0" applyAlignment="0" applyProtection="0"/>
    <xf numFmtId="164" fontId="2" fillId="0" borderId="0" applyFont="0" applyFill="0" applyBorder="0" applyAlignment="0" applyProtection="0"/>
    <xf numFmtId="0" fontId="148" fillId="0" borderId="0"/>
    <xf numFmtId="9" fontId="17" fillId="0" borderId="0" applyFont="0" applyFill="0" applyBorder="0" applyAlignment="0" applyProtection="0"/>
    <xf numFmtId="0" fontId="55" fillId="0" borderId="0"/>
    <xf numFmtId="164" fontId="55" fillId="0" borderId="0" applyFont="0" applyFill="0" applyBorder="0" applyAlignment="0" applyProtection="0"/>
    <xf numFmtId="164" fontId="17" fillId="0" borderId="0" applyFont="0" applyFill="0" applyBorder="0" applyAlignment="0" applyProtection="0"/>
    <xf numFmtId="0" fontId="55" fillId="0" borderId="0"/>
    <xf numFmtId="164" fontId="151" fillId="0" borderId="0" applyFont="0" applyFill="0" applyBorder="0" applyAlignment="0" applyProtection="0"/>
    <xf numFmtId="0" fontId="19" fillId="0" borderId="0"/>
    <xf numFmtId="0" fontId="152" fillId="0" borderId="0" applyNumberFormat="0" applyFill="0" applyBorder="0" applyProtection="0">
      <alignment horizontal="centerContinuous" vertical="center"/>
    </xf>
    <xf numFmtId="253" fontId="17" fillId="0" borderId="0" applyFill="0" applyBorder="0">
      <alignment vertical="top"/>
    </xf>
    <xf numFmtId="254" fontId="153" fillId="0" borderId="0" applyNumberFormat="0" applyFill="0" applyBorder="0" applyAlignment="0">
      <alignment vertical="top"/>
    </xf>
    <xf numFmtId="227" fontId="154" fillId="25" borderId="0" applyNumberFormat="0" applyFill="0" applyBorder="0">
      <alignment vertical="center"/>
    </xf>
    <xf numFmtId="255" fontId="153" fillId="0" borderId="0" applyFill="0" applyBorder="0">
      <alignment vertical="top"/>
    </xf>
    <xf numFmtId="0" fontId="17" fillId="0" borderId="0"/>
    <xf numFmtId="9" fontId="55" fillId="0" borderId="0" applyFont="0" applyFill="0" applyBorder="0" applyAlignment="0" applyProtection="0"/>
    <xf numFmtId="255" fontId="155" fillId="47" borderId="0" applyNumberFormat="0" applyBorder="0">
      <alignment horizontal="centerContinuous" vertical="center"/>
    </xf>
    <xf numFmtId="164" fontId="17" fillId="0" borderId="0" applyFont="0" applyFill="0" applyBorder="0" applyAlignment="0" applyProtection="0"/>
    <xf numFmtId="255" fontId="149" fillId="0" borderId="0" applyFill="0" applyBorder="0"/>
    <xf numFmtId="255" fontId="149" fillId="0" borderId="0" applyFill="0" applyBorder="0"/>
    <xf numFmtId="255" fontId="155" fillId="47" borderId="0" applyNumberFormat="0" applyBorder="0">
      <alignment horizontal="centerContinuous" vertical="center"/>
    </xf>
    <xf numFmtId="256" fontId="147" fillId="48" borderId="1" applyNumberFormat="0">
      <alignment horizontal="centerContinuous" vertical="center" wrapText="1"/>
    </xf>
    <xf numFmtId="164" fontId="149" fillId="0" borderId="0" applyFont="0" applyFill="0" applyBorder="0" applyAlignment="0" applyProtection="0"/>
    <xf numFmtId="38" fontId="68" fillId="0" borderId="0" applyFont="0" applyFill="0" applyBorder="0" applyAlignment="0" applyProtection="0"/>
    <xf numFmtId="255" fontId="157" fillId="0" borderId="0" applyFill="0" applyBorder="0"/>
    <xf numFmtId="9" fontId="149" fillId="0" borderId="0" applyFont="0" applyFill="0" applyBorder="0" applyAlignment="0" applyProtection="0"/>
    <xf numFmtId="164" fontId="149" fillId="0" borderId="0" applyFont="0" applyFill="0" applyBorder="0" applyAlignment="0" applyProtection="0"/>
    <xf numFmtId="0" fontId="2" fillId="0" borderId="0"/>
    <xf numFmtId="164" fontId="2" fillId="0" borderId="0" applyFont="0" applyFill="0" applyBorder="0" applyAlignment="0" applyProtection="0"/>
    <xf numFmtId="0" fontId="156" fillId="0" borderId="4" applyBorder="0">
      <alignment horizontal="center" vertical="center" wrapText="1"/>
    </xf>
    <xf numFmtId="1" fontId="146" fillId="0" borderId="4">
      <alignment horizontal="center" vertical="center"/>
    </xf>
    <xf numFmtId="164" fontId="149" fillId="0" borderId="4">
      <alignment horizontal="center" vertical="center"/>
    </xf>
    <xf numFmtId="0" fontId="149" fillId="0" borderId="4">
      <alignment horizontal="center" vertical="center" wrapText="1"/>
    </xf>
    <xf numFmtId="0" fontId="158" fillId="0" borderId="4">
      <alignment horizontal="left" vertical="center" wrapText="1"/>
    </xf>
    <xf numFmtId="0" fontId="149" fillId="0" borderId="4">
      <alignment horizontal="left" vertical="center" wrapText="1" indent="1"/>
    </xf>
    <xf numFmtId="0" fontId="156" fillId="0" borderId="4">
      <alignment horizontal="left" vertical="center" wrapText="1"/>
    </xf>
    <xf numFmtId="0" fontId="159" fillId="0" borderId="4">
      <alignment horizontal="left" vertical="center" wrapText="1"/>
    </xf>
    <xf numFmtId="0" fontId="149" fillId="0" borderId="4">
      <alignment horizontal="left" vertical="center" wrapText="1" indent="2"/>
    </xf>
    <xf numFmtId="164" fontId="149" fillId="0" borderId="4">
      <alignment horizontal="right" vertical="center"/>
    </xf>
    <xf numFmtId="0" fontId="146" fillId="0" borderId="16" applyBorder="0">
      <alignment horizontal="center" vertical="center"/>
    </xf>
    <xf numFmtId="0" fontId="2" fillId="0" borderId="0"/>
    <xf numFmtId="0" fontId="2" fillId="0" borderId="0"/>
    <xf numFmtId="9" fontId="17" fillId="0" borderId="0" applyFont="0" applyFill="0" applyBorder="0" applyAlignment="0" applyProtection="0"/>
    <xf numFmtId="164" fontId="17" fillId="0" borderId="0" applyFont="0" applyFill="0" applyBorder="0" applyAlignment="0" applyProtection="0"/>
    <xf numFmtId="167" fontId="55" fillId="0" borderId="0" applyFont="0" applyFill="0" applyBorder="0" applyAlignment="0" applyProtection="0"/>
    <xf numFmtId="38" fontId="68" fillId="0" borderId="0" applyFont="0" applyFill="0" applyBorder="0" applyAlignment="0" applyProtection="0"/>
    <xf numFmtId="9" fontId="149" fillId="0" borderId="0" applyFont="0" applyFill="0" applyBorder="0" applyAlignment="0" applyProtection="0"/>
    <xf numFmtId="164" fontId="149" fillId="0" borderId="0" applyFont="0" applyFill="0" applyBorder="0" applyAlignment="0" applyProtection="0"/>
    <xf numFmtId="0" fontId="2" fillId="0" borderId="0"/>
    <xf numFmtId="255" fontId="149" fillId="0" borderId="0" applyFill="0" applyBorder="0"/>
    <xf numFmtId="9" fontId="149" fillId="0" borderId="0" applyFont="0" applyFill="0" applyBorder="0" applyAlignment="0" applyProtection="0"/>
    <xf numFmtId="255" fontId="149" fillId="0" borderId="0" applyFill="0" applyBorder="0"/>
    <xf numFmtId="0" fontId="160" fillId="0" borderId="0"/>
    <xf numFmtId="164" fontId="17"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0" fontId="148" fillId="0" borderId="0"/>
    <xf numFmtId="164" fontId="148" fillId="0" borderId="0" applyFont="0" applyFill="0" applyBorder="0" applyAlignment="0" applyProtection="0"/>
    <xf numFmtId="164" fontId="148" fillId="0" borderId="0" applyFont="0" applyFill="0" applyBorder="0" applyAlignment="0" applyProtection="0"/>
    <xf numFmtId="9" fontId="148" fillId="0" borderId="0" applyFont="0" applyFill="0" applyBorder="0" applyAlignment="0" applyProtection="0"/>
    <xf numFmtId="0" fontId="55" fillId="0" borderId="0"/>
    <xf numFmtId="164" fontId="55" fillId="0" borderId="0" applyFont="0" applyFill="0" applyBorder="0" applyAlignment="0" applyProtection="0"/>
    <xf numFmtId="0" fontId="55" fillId="0" borderId="0"/>
    <xf numFmtId="164" fontId="59" fillId="0" borderId="0" applyFill="0" applyBorder="0" applyAlignment="0" applyProtection="0"/>
    <xf numFmtId="0" fontId="55" fillId="0" borderId="0"/>
    <xf numFmtId="9" fontId="55" fillId="0" borderId="0" applyFont="0" applyFill="0" applyBorder="0" applyAlignment="0" applyProtection="0"/>
    <xf numFmtId="164" fontId="17" fillId="0" borderId="0" applyFont="0" applyFill="0" applyBorder="0" applyAlignment="0" applyProtection="0"/>
    <xf numFmtId="164" fontId="59" fillId="0" borderId="0" applyFill="0" applyBorder="0" applyAlignment="0" applyProtection="0"/>
    <xf numFmtId="164" fontId="55" fillId="0" borderId="0" applyFont="0" applyFill="0" applyBorder="0" applyAlignment="0" applyProtection="0"/>
    <xf numFmtId="164" fontId="2" fillId="0" borderId="0" applyFont="0" applyFill="0" applyBorder="0" applyAlignment="0" applyProtection="0"/>
    <xf numFmtId="257" fontId="17"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2" fillId="0" borderId="0" applyFont="0" applyFill="0" applyBorder="0" applyAlignment="0" applyProtection="0"/>
    <xf numFmtId="0" fontId="161" fillId="0" borderId="0" applyNumberFormat="0" applyFill="0" applyBorder="0" applyAlignment="0" applyProtection="0">
      <alignment vertical="top"/>
      <protection locked="0"/>
    </xf>
    <xf numFmtId="259" fontId="2" fillId="0" borderId="0"/>
    <xf numFmtId="0" fontId="2" fillId="0" borderId="0"/>
    <xf numFmtId="0" fontId="55" fillId="0" borderId="0"/>
    <xf numFmtId="0" fontId="55" fillId="0" borderId="0"/>
    <xf numFmtId="164" fontId="2" fillId="0" borderId="0" applyFont="0" applyFill="0" applyBorder="0" applyAlignment="0" applyProtection="0"/>
    <xf numFmtId="0" fontId="17" fillId="0" borderId="0"/>
    <xf numFmtId="9" fontId="55" fillId="0" borderId="0" applyFont="0" applyFill="0" applyBorder="0" applyAlignment="0" applyProtection="0"/>
    <xf numFmtId="9" fontId="55" fillId="0" borderId="0" applyFont="0" applyFill="0" applyBorder="0" applyAlignment="0" applyProtection="0"/>
    <xf numFmtId="0" fontId="160" fillId="0" borderId="0"/>
    <xf numFmtId="164" fontId="17" fillId="0" borderId="0" applyFont="0" applyFill="0" applyBorder="0" applyAlignment="0" applyProtection="0"/>
    <xf numFmtId="0" fontId="57" fillId="0" borderId="0"/>
    <xf numFmtId="0" fontId="2" fillId="0" borderId="0"/>
    <xf numFmtId="164" fontId="20" fillId="0" borderId="0" applyFont="0" applyFill="0" applyBorder="0" applyAlignment="0" applyProtection="0"/>
    <xf numFmtId="0" fontId="11" fillId="0" borderId="0"/>
    <xf numFmtId="164" fontId="55" fillId="0" borderId="0" applyFont="0" applyFill="0" applyBorder="0" applyAlignment="0" applyProtection="0"/>
    <xf numFmtId="0" fontId="2" fillId="0" borderId="0"/>
    <xf numFmtId="0" fontId="150" fillId="0" borderId="0" applyNumberFormat="0" applyFill="0" applyBorder="0" applyAlignment="0" applyProtection="0"/>
    <xf numFmtId="164" fontId="11" fillId="0" borderId="0" applyFont="0" applyFill="0" applyBorder="0" applyAlignment="0" applyProtection="0"/>
    <xf numFmtId="164" fontId="55" fillId="0" borderId="0" applyFont="0" applyFill="0" applyBorder="0" applyAlignment="0" applyProtection="0"/>
    <xf numFmtId="0" fontId="17" fillId="0" borderId="0"/>
    <xf numFmtId="9" fontId="11" fillId="0" borderId="0" applyFont="0" applyFill="0" applyBorder="0" applyAlignment="0" applyProtection="0"/>
    <xf numFmtId="164" fontId="2" fillId="0" borderId="0" applyFont="0" applyFill="0" applyBorder="0" applyAlignment="0" applyProtection="0"/>
    <xf numFmtId="258" fontId="17" fillId="0" borderId="0" applyFont="0" applyFill="0" applyBorder="0" applyAlignment="0" applyProtection="0"/>
    <xf numFmtId="0" fontId="2" fillId="0" borderId="0"/>
    <xf numFmtId="0" fontId="150" fillId="0" borderId="0" applyNumberFormat="0" applyFill="0" applyBorder="0" applyAlignment="0" applyProtection="0"/>
    <xf numFmtId="164" fontId="2" fillId="0" borderId="0" applyFont="0" applyFill="0" applyBorder="0" applyAlignment="0" applyProtection="0"/>
    <xf numFmtId="164" fontId="55" fillId="0" borderId="0" applyFont="0" applyFill="0" applyBorder="0" applyAlignment="0" applyProtection="0"/>
    <xf numFmtId="9" fontId="2" fillId="0" borderId="0" applyFont="0" applyFill="0" applyBorder="0" applyAlignment="0" applyProtection="0"/>
    <xf numFmtId="259" fontId="17" fillId="0" borderId="0"/>
    <xf numFmtId="164" fontId="160" fillId="0" borderId="0" applyFont="0" applyFill="0" applyBorder="0" applyAlignment="0" applyProtection="0"/>
    <xf numFmtId="0" fontId="162" fillId="0" borderId="0"/>
    <xf numFmtId="9" fontId="16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40">
    <xf numFmtId="0" fontId="0" fillId="0" borderId="0" xfId="0"/>
    <xf numFmtId="0" fontId="5" fillId="0" borderId="0" xfId="0" applyFont="1"/>
    <xf numFmtId="0" fontId="6" fillId="0" borderId="0" xfId="0" applyFont="1"/>
    <xf numFmtId="0" fontId="3" fillId="0" borderId="0" xfId="0" applyFont="1" applyAlignment="1">
      <alignment horizontal="center"/>
    </xf>
    <xf numFmtId="0" fontId="3" fillId="0" borderId="0" xfId="0" applyFont="1"/>
    <xf numFmtId="0" fontId="3" fillId="2" borderId="0" xfId="0" applyFont="1" applyFill="1"/>
    <xf numFmtId="0" fontId="3" fillId="4" borderId="0" xfId="0" applyFont="1" applyFill="1"/>
    <xf numFmtId="165" fontId="3" fillId="0" borderId="0" xfId="1" applyNumberFormat="1" applyFont="1"/>
    <xf numFmtId="165" fontId="8" fillId="0" borderId="0" xfId="1" applyNumberFormat="1" applyFont="1"/>
    <xf numFmtId="166" fontId="0" fillId="0" borderId="0" xfId="1" applyNumberFormat="1" applyFont="1"/>
    <xf numFmtId="0" fontId="18" fillId="0" borderId="0" xfId="1322" applyFont="1" applyAlignment="1">
      <alignment horizontal="center" wrapText="1"/>
    </xf>
    <xf numFmtId="165" fontId="5" fillId="0" borderId="0" xfId="1" applyNumberFormat="1" applyFont="1"/>
    <xf numFmtId="165" fontId="6" fillId="0" borderId="0" xfId="1" applyNumberFormat="1" applyFont="1"/>
    <xf numFmtId="165" fontId="18" fillId="0" borderId="0" xfId="1" applyNumberFormat="1" applyFont="1" applyAlignment="1">
      <alignment horizontal="center" wrapText="1"/>
    </xf>
    <xf numFmtId="165" fontId="3" fillId="2" borderId="0" xfId="1" applyNumberFormat="1" applyFont="1" applyFill="1"/>
    <xf numFmtId="165" fontId="3" fillId="4" borderId="0" xfId="1" applyNumberFormat="1" applyFont="1" applyFill="1"/>
    <xf numFmtId="10" fontId="3" fillId="0" borderId="0" xfId="2" applyNumberFormat="1" applyFont="1"/>
    <xf numFmtId="0" fontId="3" fillId="0" borderId="0" xfId="14" applyFont="1"/>
    <xf numFmtId="261" fontId="3" fillId="0" borderId="0" xfId="31" applyNumberFormat="1" applyFont="1"/>
    <xf numFmtId="9" fontId="3" fillId="0" borderId="0" xfId="14" applyNumberFormat="1" applyFont="1"/>
    <xf numFmtId="169" fontId="3" fillId="0" borderId="0" xfId="32" applyNumberFormat="1" applyFont="1"/>
    <xf numFmtId="0" fontId="3" fillId="0" borderId="0" xfId="11" applyFont="1"/>
    <xf numFmtId="0" fontId="18" fillId="0" borderId="0" xfId="11" applyFont="1" applyAlignment="1">
      <alignment wrapText="1"/>
    </xf>
    <xf numFmtId="0" fontId="3" fillId="0" borderId="0" xfId="0" applyFont="1" applyAlignment="1">
      <alignment horizontal="right"/>
    </xf>
    <xf numFmtId="260" fontId="3" fillId="0" borderId="0" xfId="32" applyNumberFormat="1" applyFont="1"/>
    <xf numFmtId="165" fontId="10" fillId="49" borderId="0" xfId="1" applyNumberFormat="1" applyFont="1" applyFill="1" applyBorder="1" applyAlignment="1">
      <alignment horizontal="left"/>
    </xf>
    <xf numFmtId="0" fontId="152" fillId="49" borderId="0" xfId="0" applyFont="1" applyFill="1"/>
    <xf numFmtId="0" fontId="10" fillId="49" borderId="0" xfId="0" applyFont="1" applyFill="1"/>
    <xf numFmtId="165" fontId="152" fillId="49" borderId="0" xfId="1" applyNumberFormat="1" applyFont="1" applyFill="1" applyBorder="1"/>
    <xf numFmtId="165" fontId="10" fillId="49" borderId="0" xfId="1" applyNumberFormat="1" applyFont="1" applyFill="1" applyBorder="1" applyAlignment="1"/>
    <xf numFmtId="165" fontId="152" fillId="49" borderId="0" xfId="1" applyNumberFormat="1" applyFont="1" applyFill="1" applyBorder="1" applyAlignment="1"/>
    <xf numFmtId="165" fontId="10" fillId="49" borderId="0" xfId="1" applyNumberFormat="1" applyFont="1" applyFill="1" applyBorder="1" applyAlignment="1">
      <alignment horizontal="center" vertical="center"/>
    </xf>
    <xf numFmtId="165" fontId="3" fillId="0" borderId="0" xfId="1" applyNumberFormat="1" applyFont="1" applyAlignment="1">
      <alignment horizontal="center" vertical="center"/>
    </xf>
    <xf numFmtId="165" fontId="3" fillId="4" borderId="0" xfId="1" applyNumberFormat="1" applyFont="1" applyFill="1" applyBorder="1"/>
    <xf numFmtId="165" fontId="3" fillId="0" borderId="0" xfId="1" applyNumberFormat="1" applyFont="1" applyBorder="1"/>
    <xf numFmtId="165" fontId="4" fillId="0" borderId="0" xfId="1" applyNumberFormat="1" applyFont="1" applyFill="1" applyBorder="1" applyAlignment="1">
      <alignment horizontal="right" vertical="center" wrapText="1"/>
    </xf>
    <xf numFmtId="43" fontId="3" fillId="0" borderId="0" xfId="1" applyFont="1" applyBorder="1" applyAlignment="1">
      <alignment vertical="center"/>
    </xf>
    <xf numFmtId="261" fontId="3" fillId="0" borderId="0" xfId="31" applyNumberFormat="1" applyFont="1" applyBorder="1"/>
    <xf numFmtId="261" fontId="18" fillId="0" borderId="0" xfId="11" applyNumberFormat="1" applyFont="1"/>
    <xf numFmtId="165" fontId="7" fillId="3" borderId="0" xfId="12" applyNumberFormat="1" applyFont="1" applyFill="1" applyBorder="1" applyAlignment="1">
      <alignment horizontal="right" vertical="center" wrapText="1"/>
    </xf>
    <xf numFmtId="261" fontId="3" fillId="0" borderId="0" xfId="11" applyNumberFormat="1" applyFont="1"/>
    <xf numFmtId="260" fontId="7" fillId="3" borderId="0" xfId="13" applyNumberFormat="1" applyFont="1" applyFill="1" applyBorder="1" applyAlignment="1">
      <alignment horizontal="right" vertical="center" wrapText="1"/>
    </xf>
    <xf numFmtId="165" fontId="3" fillId="0" borderId="0" xfId="11" applyNumberFormat="1" applyFont="1"/>
    <xf numFmtId="3" fontId="0" fillId="0" borderId="0" xfId="0" applyNumberFormat="1"/>
    <xf numFmtId="0" fontId="13" fillId="0" borderId="0" xfId="0" applyFont="1"/>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center"/>
    </xf>
    <xf numFmtId="165" fontId="12" fillId="0" borderId="1" xfId="1" applyNumberFormat="1" applyFont="1" applyFill="1" applyBorder="1" applyAlignment="1">
      <alignment horizontal="center" vertical="center"/>
    </xf>
    <xf numFmtId="0" fontId="0" fillId="0" borderId="7" xfId="0" applyBorder="1" applyAlignment="1">
      <alignment horizontal="center" vertical="center"/>
    </xf>
    <xf numFmtId="0" fontId="165" fillId="0" borderId="7" xfId="0" applyFont="1" applyBorder="1" applyAlignment="1">
      <alignment vertical="center"/>
    </xf>
    <xf numFmtId="0" fontId="165" fillId="0" borderId="7" xfId="0" applyFont="1" applyBorder="1" applyAlignment="1">
      <alignment horizontal="center" vertical="center"/>
    </xf>
    <xf numFmtId="165" fontId="0" fillId="0" borderId="7" xfId="1" applyNumberFormat="1" applyFont="1" applyFill="1" applyBorder="1" applyAlignment="1">
      <alignment horizontal="center" vertical="center"/>
    </xf>
    <xf numFmtId="0" fontId="0" fillId="0" borderId="5" xfId="0" applyBorder="1" applyAlignment="1">
      <alignment horizontal="center" vertical="center"/>
    </xf>
    <xf numFmtId="0" fontId="165" fillId="0" borderId="5" xfId="0" applyFont="1" applyBorder="1" applyAlignment="1">
      <alignment vertical="center"/>
    </xf>
    <xf numFmtId="0" fontId="165" fillId="0" borderId="5" xfId="0" applyFont="1" applyBorder="1" applyAlignment="1">
      <alignment horizontal="center" vertical="center"/>
    </xf>
    <xf numFmtId="166" fontId="2" fillId="0" borderId="5" xfId="1" applyNumberFormat="1" applyFont="1" applyFill="1" applyBorder="1" applyAlignment="1">
      <alignment horizontal="center" vertical="center"/>
    </xf>
    <xf numFmtId="165" fontId="0" fillId="0" borderId="5" xfId="1" applyNumberFormat="1" applyFont="1" applyFill="1" applyBorder="1" applyAlignment="1">
      <alignment horizontal="center" vertical="center"/>
    </xf>
    <xf numFmtId="165" fontId="12" fillId="0" borderId="1" xfId="0" applyNumberFormat="1" applyFont="1" applyBorder="1" applyAlignment="1">
      <alignment horizontal="center" vertical="center"/>
    </xf>
    <xf numFmtId="0" fontId="14" fillId="0" borderId="1" xfId="0" applyFont="1" applyBorder="1" applyAlignment="1">
      <alignment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vertical="center"/>
    </xf>
    <xf numFmtId="166" fontId="0" fillId="0" borderId="7" xfId="1" applyNumberFormat="1" applyFont="1" applyFill="1" applyBorder="1" applyAlignment="1">
      <alignment horizontal="center" vertical="center"/>
    </xf>
    <xf numFmtId="0" fontId="166" fillId="0" borderId="7" xfId="0" applyFont="1" applyBorder="1" applyAlignment="1">
      <alignment horizontal="left" vertical="center" wrapText="1" inden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165" fontId="9" fillId="0" borderId="12" xfId="12" applyNumberFormat="1" applyFont="1" applyFill="1" applyBorder="1" applyAlignment="1">
      <alignment horizontal="center" vertical="center" wrapText="1"/>
    </xf>
    <xf numFmtId="165" fontId="9" fillId="0" borderId="12" xfId="1" applyNumberFormat="1" applyFont="1" applyFill="1" applyBorder="1" applyAlignment="1">
      <alignment horizontal="center" vertical="center" wrapText="1"/>
    </xf>
    <xf numFmtId="165" fontId="9" fillId="0" borderId="8" xfId="1" applyNumberFormat="1" applyFont="1" applyFill="1" applyBorder="1" applyAlignment="1">
      <alignment horizontal="center" vertical="center" wrapText="1"/>
    </xf>
    <xf numFmtId="38" fontId="9" fillId="0" borderId="7" xfId="0" applyNumberFormat="1" applyFont="1" applyBorder="1" applyAlignment="1">
      <alignment horizontal="center" vertical="center" wrapText="1"/>
    </xf>
    <xf numFmtId="38" fontId="9" fillId="0" borderId="5" xfId="0" applyNumberFormat="1" applyFont="1" applyBorder="1" applyAlignment="1">
      <alignment horizontal="center" vertical="center" wrapText="1"/>
    </xf>
    <xf numFmtId="38" fontId="9" fillId="0" borderId="5" xfId="0" applyNumberFormat="1" applyFont="1" applyBorder="1" applyAlignment="1">
      <alignment horizontal="left" vertical="center" wrapText="1"/>
    </xf>
    <xf numFmtId="9" fontId="9" fillId="0" borderId="5" xfId="1" applyNumberFormat="1" applyFont="1" applyFill="1" applyBorder="1" applyAlignment="1">
      <alignment horizontal="center" vertical="center" wrapText="1"/>
    </xf>
    <xf numFmtId="165" fontId="9" fillId="0" borderId="5" xfId="1" applyNumberFormat="1" applyFont="1" applyFill="1" applyBorder="1" applyAlignment="1">
      <alignment horizontal="center" vertical="center" wrapText="1"/>
    </xf>
    <xf numFmtId="165" fontId="9" fillId="0" borderId="5" xfId="1" applyNumberFormat="1" applyFont="1" applyFill="1" applyBorder="1" applyAlignment="1">
      <alignment horizontal="right" vertical="center" wrapText="1"/>
    </xf>
    <xf numFmtId="38" fontId="8" fillId="0" borderId="5" xfId="0" applyNumberFormat="1" applyFont="1" applyBorder="1" applyAlignment="1">
      <alignment horizontal="center" vertical="center" wrapText="1"/>
    </xf>
    <xf numFmtId="38" fontId="8" fillId="0" borderId="5" xfId="0" applyNumberFormat="1" applyFont="1" applyBorder="1" applyAlignment="1">
      <alignment horizontal="left" vertical="center" wrapText="1"/>
    </xf>
    <xf numFmtId="9" fontId="8" fillId="0" borderId="5" xfId="1" applyNumberFormat="1" applyFont="1" applyFill="1" applyBorder="1" applyAlignment="1">
      <alignment horizontal="center" vertical="center" wrapText="1"/>
    </xf>
    <xf numFmtId="165" fontId="8" fillId="0" borderId="5" xfId="1" applyNumberFormat="1" applyFont="1" applyFill="1" applyBorder="1" applyAlignment="1">
      <alignment horizontal="center" vertical="center" wrapText="1"/>
    </xf>
    <xf numFmtId="9" fontId="8" fillId="0" borderId="5" xfId="32" applyFont="1" applyFill="1" applyBorder="1" applyAlignment="1">
      <alignment horizontal="center" vertical="center" wrapText="1"/>
    </xf>
    <xf numFmtId="165" fontId="8" fillId="0" borderId="5" xfId="1" applyNumberFormat="1" applyFont="1" applyFill="1" applyBorder="1" applyAlignment="1">
      <alignment horizontal="left" vertical="center" wrapText="1"/>
    </xf>
    <xf numFmtId="165" fontId="8" fillId="0" borderId="5" xfId="1" applyNumberFormat="1" applyFont="1" applyFill="1" applyBorder="1" applyAlignment="1">
      <alignment horizontal="right" vertical="center" wrapText="1"/>
    </xf>
    <xf numFmtId="165" fontId="9" fillId="0" borderId="5" xfId="1" applyNumberFormat="1" applyFont="1" applyFill="1" applyBorder="1" applyAlignment="1">
      <alignment horizontal="left" vertical="center" wrapText="1"/>
    </xf>
    <xf numFmtId="9" fontId="9" fillId="0" borderId="5" xfId="2" applyFont="1" applyFill="1" applyBorder="1" applyAlignment="1">
      <alignment horizontal="right" vertical="center" wrapText="1"/>
    </xf>
    <xf numFmtId="38" fontId="9" fillId="0" borderId="6" xfId="14" applyNumberFormat="1" applyFont="1" applyBorder="1" applyAlignment="1">
      <alignment horizontal="center" vertical="center" wrapText="1"/>
    </xf>
    <xf numFmtId="38" fontId="9" fillId="0" borderId="6" xfId="14" applyNumberFormat="1" applyFont="1" applyBorder="1" applyAlignment="1">
      <alignment horizontal="left" vertical="center" wrapText="1"/>
    </xf>
    <xf numFmtId="260" fontId="9" fillId="0" borderId="6" xfId="15" applyNumberFormat="1" applyFont="1" applyFill="1" applyBorder="1" applyAlignment="1">
      <alignment horizontal="center" vertical="center" wrapText="1"/>
    </xf>
    <xf numFmtId="38" fontId="8" fillId="0" borderId="5" xfId="14" applyNumberFormat="1" applyFont="1" applyBorder="1" applyAlignment="1">
      <alignment horizontal="center" vertical="center" wrapText="1"/>
    </xf>
    <xf numFmtId="38" fontId="8" fillId="0" borderId="5" xfId="14" applyNumberFormat="1" applyFont="1" applyBorder="1" applyAlignment="1">
      <alignment horizontal="left" vertical="center" wrapText="1"/>
    </xf>
    <xf numFmtId="9" fontId="9" fillId="0" borderId="5" xfId="15" applyFont="1" applyFill="1" applyBorder="1" applyAlignment="1">
      <alignment horizontal="center" vertical="center" wrapText="1"/>
    </xf>
    <xf numFmtId="165" fontId="9" fillId="0" borderId="5" xfId="12" applyNumberFormat="1" applyFont="1" applyFill="1" applyBorder="1" applyAlignment="1">
      <alignment horizontal="center" vertical="center" wrapText="1"/>
    </xf>
    <xf numFmtId="165" fontId="9" fillId="0" borderId="5" xfId="12" applyNumberFormat="1" applyFont="1" applyFill="1" applyBorder="1" applyAlignment="1">
      <alignment horizontal="right" vertical="center" wrapText="1"/>
    </xf>
    <xf numFmtId="165" fontId="9" fillId="0" borderId="5" xfId="12" applyNumberFormat="1" applyFont="1" applyFill="1" applyBorder="1" applyAlignment="1">
      <alignment horizontal="left" vertical="center" wrapText="1"/>
    </xf>
    <xf numFmtId="165" fontId="8" fillId="0" borderId="5" xfId="12" applyNumberFormat="1" applyFont="1" applyFill="1" applyBorder="1" applyAlignment="1">
      <alignment horizontal="right" vertical="center" wrapText="1"/>
    </xf>
    <xf numFmtId="9" fontId="9" fillId="0" borderId="5" xfId="13" applyFont="1" applyFill="1" applyBorder="1" applyAlignment="1">
      <alignment horizontal="center" vertical="center" wrapText="1"/>
    </xf>
    <xf numFmtId="260" fontId="9" fillId="0" borderId="5" xfId="15" applyNumberFormat="1" applyFont="1" applyFill="1" applyBorder="1" applyAlignment="1">
      <alignment horizontal="center" vertical="center" wrapText="1"/>
    </xf>
    <xf numFmtId="38" fontId="8" fillId="0" borderId="5" xfId="11" applyNumberFormat="1" applyFont="1" applyBorder="1" applyAlignment="1">
      <alignment horizontal="center" vertical="center" wrapText="1"/>
    </xf>
    <xf numFmtId="38" fontId="8" fillId="0" borderId="5" xfId="11" applyNumberFormat="1" applyFont="1" applyBorder="1" applyAlignment="1">
      <alignment horizontal="left" vertical="center" wrapText="1"/>
    </xf>
    <xf numFmtId="38" fontId="9" fillId="0" borderId="5" xfId="11" applyNumberFormat="1" applyFont="1" applyBorder="1" applyAlignment="1">
      <alignment horizontal="center" vertical="center" wrapText="1"/>
    </xf>
    <xf numFmtId="38" fontId="9" fillId="0" borderId="5" xfId="11" applyNumberFormat="1" applyFont="1" applyBorder="1" applyAlignment="1">
      <alignment horizontal="left" vertical="center" wrapText="1"/>
    </xf>
    <xf numFmtId="38" fontId="9" fillId="0" borderId="6" xfId="11" applyNumberFormat="1" applyFont="1" applyBorder="1" applyAlignment="1">
      <alignment horizontal="center" vertical="center" wrapText="1"/>
    </xf>
    <xf numFmtId="38" fontId="9" fillId="0" borderId="6" xfId="11" applyNumberFormat="1" applyFont="1" applyBorder="1" applyAlignment="1">
      <alignment horizontal="left" vertical="center" wrapText="1"/>
    </xf>
    <xf numFmtId="165" fontId="9" fillId="0" borderId="6" xfId="12" applyNumberFormat="1" applyFont="1" applyFill="1" applyBorder="1" applyAlignment="1">
      <alignment horizontal="center" vertical="center" wrapText="1"/>
    </xf>
    <xf numFmtId="260" fontId="9" fillId="0" borderId="6" xfId="13" applyNumberFormat="1" applyFont="1" applyFill="1" applyBorder="1" applyAlignment="1">
      <alignment horizontal="center" vertical="center" wrapText="1"/>
    </xf>
    <xf numFmtId="260" fontId="9" fillId="0" borderId="6" xfId="13" applyNumberFormat="1" applyFont="1" applyFill="1" applyBorder="1" applyAlignment="1">
      <alignment horizontal="right" vertical="center" wrapText="1"/>
    </xf>
    <xf numFmtId="9" fontId="9" fillId="0" borderId="6" xfId="13" applyFont="1" applyFill="1" applyBorder="1" applyAlignment="1">
      <alignment horizontal="center" vertical="center" wrapText="1"/>
    </xf>
    <xf numFmtId="9" fontId="9" fillId="0" borderId="6" xfId="13" applyFont="1" applyFill="1" applyBorder="1" applyAlignment="1">
      <alignment horizontal="right" vertical="center" wrapText="1"/>
    </xf>
    <xf numFmtId="0" fontId="8" fillId="0" borderId="8" xfId="11" applyFont="1" applyBorder="1" applyAlignment="1">
      <alignment horizontal="center"/>
    </xf>
    <xf numFmtId="0" fontId="8" fillId="0" borderId="9" xfId="11" applyFont="1" applyBorder="1"/>
    <xf numFmtId="165" fontId="8" fillId="0" borderId="9" xfId="12" applyNumberFormat="1" applyFont="1" applyFill="1" applyBorder="1" applyAlignment="1">
      <alignment horizontal="center"/>
    </xf>
    <xf numFmtId="165" fontId="8" fillId="0" borderId="9" xfId="12" applyNumberFormat="1" applyFont="1" applyFill="1" applyBorder="1"/>
    <xf numFmtId="165" fontId="8" fillId="0" borderId="9" xfId="12" applyNumberFormat="1" applyFont="1" applyFill="1" applyBorder="1" applyAlignment="1">
      <alignment horizontal="center" vertical="center"/>
    </xf>
    <xf numFmtId="0" fontId="8" fillId="0" borderId="10" xfId="11" applyFont="1" applyBorder="1"/>
    <xf numFmtId="0" fontId="169" fillId="0" borderId="0" xfId="0" applyFont="1"/>
    <xf numFmtId="0" fontId="0" fillId="0" borderId="4" xfId="0" applyBorder="1" applyAlignment="1">
      <alignment horizontal="right" vertical="center" indent="2"/>
    </xf>
    <xf numFmtId="165" fontId="3" fillId="0" borderId="0" xfId="1" applyNumberFormat="1" applyFont="1" applyFill="1"/>
    <xf numFmtId="0" fontId="170" fillId="0" borderId="0" xfId="0" applyFont="1" applyAlignment="1">
      <alignment horizontal="center" vertical="center"/>
    </xf>
    <xf numFmtId="0" fontId="170" fillId="0" borderId="1" xfId="0" applyFont="1" applyBorder="1" applyAlignment="1">
      <alignment horizontal="center" vertical="center"/>
    </xf>
    <xf numFmtId="3" fontId="170" fillId="0" borderId="1" xfId="0" applyNumberFormat="1" applyFont="1" applyBorder="1" applyAlignment="1">
      <alignment horizontal="center" vertical="center"/>
    </xf>
    <xf numFmtId="2" fontId="170" fillId="0" borderId="1" xfId="0" applyNumberFormat="1" applyFont="1" applyBorder="1" applyAlignment="1">
      <alignment horizontal="center" vertical="center"/>
    </xf>
    <xf numFmtId="3" fontId="171" fillId="0" borderId="1" xfId="0" applyNumberFormat="1" applyFont="1" applyBorder="1" applyAlignment="1">
      <alignment horizontal="center" vertical="center"/>
    </xf>
    <xf numFmtId="0" fontId="171" fillId="50" borderId="1" xfId="0" applyFont="1" applyFill="1" applyBorder="1" applyAlignment="1">
      <alignment horizontal="center" vertical="center"/>
    </xf>
    <xf numFmtId="0" fontId="171" fillId="50" borderId="1" xfId="0" applyFont="1" applyFill="1" applyBorder="1" applyAlignment="1">
      <alignment horizontal="center" vertical="center" wrapText="1"/>
    </xf>
    <xf numFmtId="0" fontId="171" fillId="51" borderId="1" xfId="0" applyFont="1" applyFill="1" applyBorder="1" applyAlignment="1">
      <alignment horizontal="center" vertical="center"/>
    </xf>
    <xf numFmtId="0" fontId="0" fillId="0" borderId="0" xfId="0" applyAlignme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0" fillId="0" borderId="0" xfId="0" applyAlignment="1">
      <alignment horizontal="center" vertical="center"/>
    </xf>
    <xf numFmtId="0" fontId="174" fillId="0" borderId="0" xfId="0" applyFont="1" applyAlignment="1">
      <alignment vertical="center"/>
    </xf>
    <xf numFmtId="0" fontId="175" fillId="0" borderId="0" xfId="0" applyFont="1" applyAlignment="1">
      <alignment horizontal="left" vertical="center" wrapText="1"/>
    </xf>
    <xf numFmtId="0" fontId="0" fillId="0" borderId="0" xfId="0" applyAlignment="1">
      <alignment horizont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xf>
    <xf numFmtId="0" fontId="12" fillId="0" borderId="45" xfId="0" applyFont="1" applyBorder="1" applyAlignment="1">
      <alignment horizontal="center" vertical="center"/>
    </xf>
    <xf numFmtId="0" fontId="12" fillId="0" borderId="7" xfId="0" applyFont="1" applyBorder="1" applyAlignment="1">
      <alignment horizontal="left" vertical="center" indent="1"/>
    </xf>
    <xf numFmtId="0" fontId="12" fillId="0" borderId="7" xfId="0" applyFont="1" applyBorder="1" applyAlignment="1">
      <alignment horizontal="center" vertical="center"/>
    </xf>
    <xf numFmtId="3" fontId="12" fillId="0" borderId="7" xfId="0" applyNumberFormat="1" applyFont="1" applyBorder="1" applyAlignment="1">
      <alignment horizontal="right" vertical="center"/>
    </xf>
    <xf numFmtId="165" fontId="12" fillId="0" borderId="7" xfId="1393" applyNumberFormat="1" applyFont="1" applyFill="1" applyBorder="1" applyAlignment="1">
      <alignment horizontal="center" vertical="center"/>
    </xf>
    <xf numFmtId="0" fontId="12" fillId="0" borderId="46" xfId="0" applyFont="1" applyBorder="1" applyAlignment="1">
      <alignment horizontal="center" vertical="center"/>
    </xf>
    <xf numFmtId="3" fontId="12" fillId="0" borderId="0" xfId="0" applyNumberFormat="1" applyFont="1" applyAlignment="1">
      <alignment horizontal="center" vertical="center"/>
    </xf>
    <xf numFmtId="0" fontId="0" fillId="0" borderId="47" xfId="0" applyBorder="1" applyAlignment="1">
      <alignment horizontal="center" vertical="center"/>
    </xf>
    <xf numFmtId="3" fontId="0" fillId="0" borderId="5" xfId="0" applyNumberFormat="1" applyBorder="1" applyAlignment="1">
      <alignment horizontal="right" vertical="center"/>
    </xf>
    <xf numFmtId="165" fontId="0" fillId="0" borderId="5" xfId="1393" applyNumberFormat="1" applyFont="1" applyFill="1" applyBorder="1" applyAlignment="1">
      <alignment horizontal="center" vertical="center"/>
    </xf>
    <xf numFmtId="0" fontId="175" fillId="0" borderId="48" xfId="0" applyFont="1" applyBorder="1" applyAlignment="1">
      <alignment horizontal="left" vertical="center" wrapText="1"/>
    </xf>
    <xf numFmtId="3" fontId="0" fillId="0" borderId="0" xfId="0" applyNumberFormat="1" applyAlignment="1">
      <alignment horizontal="center" vertical="center"/>
    </xf>
    <xf numFmtId="0" fontId="12" fillId="0" borderId="47" xfId="0" applyFont="1" applyBorder="1" applyAlignment="1">
      <alignment horizontal="center" vertical="center"/>
    </xf>
    <xf numFmtId="0" fontId="12" fillId="0" borderId="5" xfId="0" applyFont="1" applyBorder="1" applyAlignment="1">
      <alignment horizontal="left" vertical="center" indent="1"/>
    </xf>
    <xf numFmtId="0" fontId="12" fillId="0" borderId="5" xfId="0" applyFont="1" applyBorder="1" applyAlignment="1">
      <alignment horizontal="center" vertical="center"/>
    </xf>
    <xf numFmtId="3" fontId="12" fillId="0" borderId="5" xfId="0" applyNumberFormat="1" applyFont="1" applyBorder="1" applyAlignment="1">
      <alignment horizontal="right" vertical="center"/>
    </xf>
    <xf numFmtId="165" fontId="12" fillId="0" borderId="5" xfId="0" applyNumberFormat="1" applyFont="1" applyBorder="1" applyAlignment="1">
      <alignment horizontal="center" vertical="center"/>
    </xf>
    <xf numFmtId="0" fontId="14" fillId="0" borderId="48" xfId="0" applyFont="1" applyBorder="1" applyAlignment="1">
      <alignment horizontal="center" vertical="center" wrapText="1"/>
    </xf>
    <xf numFmtId="0" fontId="0" fillId="0" borderId="5" xfId="0" applyBorder="1" applyAlignment="1">
      <alignment vertical="center" wrapText="1"/>
    </xf>
    <xf numFmtId="0" fontId="166" fillId="0" borderId="48" xfId="0" applyFont="1" applyBorder="1" applyAlignment="1">
      <alignment vertical="center" wrapText="1"/>
    </xf>
    <xf numFmtId="0" fontId="14" fillId="0" borderId="48" xfId="0" applyFont="1" applyBorder="1" applyAlignment="1">
      <alignment vertical="center" wrapText="1"/>
    </xf>
    <xf numFmtId="3" fontId="0" fillId="0" borderId="5" xfId="1393" applyNumberFormat="1" applyFont="1" applyFill="1" applyBorder="1" applyAlignment="1">
      <alignment horizontal="right" vertical="center"/>
    </xf>
    <xf numFmtId="0" fontId="165" fillId="0" borderId="5" xfId="0" applyFont="1" applyBorder="1" applyAlignment="1">
      <alignment vertical="center" wrapText="1"/>
    </xf>
    <xf numFmtId="0" fontId="12" fillId="0" borderId="48" xfId="0" applyFont="1" applyBorder="1" applyAlignment="1">
      <alignment horizontal="center" vertical="center"/>
    </xf>
    <xf numFmtId="0" fontId="0" fillId="0" borderId="5" xfId="0" applyBorder="1" applyAlignment="1">
      <alignment vertical="center"/>
    </xf>
    <xf numFmtId="165" fontId="0" fillId="0" borderId="5" xfId="0" applyNumberFormat="1" applyBorder="1" applyAlignment="1">
      <alignment horizontal="center" vertical="center"/>
    </xf>
    <xf numFmtId="0" fontId="0" fillId="0" borderId="48" xfId="0" applyBorder="1" applyAlignment="1">
      <alignment horizontal="center" vertical="center"/>
    </xf>
    <xf numFmtId="0" fontId="175" fillId="0" borderId="5" xfId="0" applyFont="1" applyBorder="1" applyAlignment="1">
      <alignment vertical="center"/>
    </xf>
    <xf numFmtId="0" fontId="175" fillId="0" borderId="5" xfId="0" applyFont="1" applyBorder="1" applyAlignment="1">
      <alignment horizontal="center" vertical="center"/>
    </xf>
    <xf numFmtId="3" fontId="175" fillId="0" borderId="5" xfId="0" applyNumberFormat="1" applyFont="1" applyBorder="1" applyAlignment="1">
      <alignment horizontal="right" vertical="center"/>
    </xf>
    <xf numFmtId="165" fontId="175" fillId="0" borderId="5" xfId="0" applyNumberFormat="1" applyFont="1" applyBorder="1" applyAlignment="1">
      <alignment horizontal="center" vertical="center"/>
    </xf>
    <xf numFmtId="0" fontId="0" fillId="0" borderId="49" xfId="0" applyBorder="1" applyAlignment="1">
      <alignment vertical="center"/>
    </xf>
    <xf numFmtId="0" fontId="175" fillId="0" borderId="50" xfId="0" applyFont="1" applyBorder="1" applyAlignment="1">
      <alignment horizontal="left" vertical="center" wrapText="1"/>
    </xf>
    <xf numFmtId="3" fontId="176" fillId="0" borderId="5" xfId="0" applyNumberFormat="1" applyFont="1" applyBorder="1" applyAlignment="1">
      <alignment horizontal="left" vertical="center" wrapText="1" indent="1"/>
    </xf>
    <xf numFmtId="0" fontId="0" fillId="0" borderId="46" xfId="0" applyBorder="1" applyAlignment="1">
      <alignment horizontal="center" vertical="center"/>
    </xf>
    <xf numFmtId="0" fontId="12" fillId="0" borderId="5" xfId="0" applyFont="1" applyBorder="1" applyAlignment="1">
      <alignment vertical="center"/>
    </xf>
    <xf numFmtId="0" fontId="12" fillId="0" borderId="51" xfId="0" applyFont="1" applyBorder="1" applyAlignment="1">
      <alignment horizontal="center" vertical="center"/>
    </xf>
    <xf numFmtId="3" fontId="12" fillId="0" borderId="52" xfId="0" applyNumberFormat="1" applyFont="1" applyBorder="1" applyAlignment="1">
      <alignment vertical="center"/>
    </xf>
    <xf numFmtId="43" fontId="12" fillId="0" borderId="52" xfId="0" applyNumberFormat="1" applyFont="1" applyBorder="1" applyAlignment="1">
      <alignment horizontal="center" vertical="center"/>
    </xf>
    <xf numFmtId="0" fontId="0" fillId="0" borderId="53" xfId="0" applyBorder="1" applyAlignment="1">
      <alignment horizontal="center" vertical="center"/>
    </xf>
    <xf numFmtId="166" fontId="0" fillId="0" borderId="0" xfId="1393" applyNumberFormat="1" applyFont="1" applyAlignment="1">
      <alignment horizontal="center" vertical="center"/>
    </xf>
    <xf numFmtId="0" fontId="9" fillId="0" borderId="5" xfId="2"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21" fillId="0" borderId="5" xfId="2" applyNumberFormat="1" applyFont="1" applyFill="1" applyBorder="1" applyAlignment="1">
      <alignment horizontal="left" vertical="center" wrapText="1"/>
    </xf>
    <xf numFmtId="0" fontId="8" fillId="0" borderId="5" xfId="1" applyNumberFormat="1" applyFont="1" applyFill="1" applyBorder="1" applyAlignment="1">
      <alignment horizontal="center" vertical="center" wrapText="1"/>
    </xf>
    <xf numFmtId="0" fontId="9" fillId="0" borderId="5" xfId="13" applyNumberFormat="1" applyFont="1" applyFill="1" applyBorder="1" applyAlignment="1">
      <alignment horizontal="center" vertical="center" wrapText="1"/>
    </xf>
    <xf numFmtId="0" fontId="8" fillId="0" borderId="5" xfId="11" applyFont="1" applyBorder="1" applyAlignment="1">
      <alignment horizontal="center" vertical="center" wrapText="1"/>
    </xf>
    <xf numFmtId="0" fontId="8" fillId="0" borderId="6" xfId="12" applyNumberFormat="1" applyFont="1" applyFill="1" applyBorder="1" applyAlignment="1">
      <alignment horizontal="center" vertical="center" wrapText="1"/>
    </xf>
    <xf numFmtId="17" fontId="8" fillId="0" borderId="5" xfId="0" applyNumberFormat="1" applyFont="1" applyBorder="1" applyAlignment="1">
      <alignment horizontal="center" vertical="center" wrapText="1"/>
    </xf>
    <xf numFmtId="165" fontId="177" fillId="0" borderId="5" xfId="1" applyNumberFormat="1" applyFont="1" applyFill="1" applyBorder="1" applyAlignment="1">
      <alignment horizontal="right" vertical="center" wrapText="1"/>
    </xf>
    <xf numFmtId="9" fontId="177" fillId="0" borderId="5" xfId="2" applyFont="1" applyFill="1" applyBorder="1" applyAlignment="1">
      <alignment horizontal="right" vertical="center" wrapText="1"/>
    </xf>
    <xf numFmtId="165" fontId="177" fillId="0" borderId="5" xfId="12" applyNumberFormat="1" applyFont="1" applyFill="1" applyBorder="1" applyAlignment="1">
      <alignment horizontal="right" vertical="center" wrapText="1"/>
    </xf>
    <xf numFmtId="260" fontId="177" fillId="0" borderId="6" xfId="13" applyNumberFormat="1" applyFont="1" applyFill="1" applyBorder="1" applyAlignment="1">
      <alignment horizontal="right" vertical="center" wrapText="1"/>
    </xf>
    <xf numFmtId="165" fontId="178" fillId="0" borderId="5" xfId="1" applyNumberFormat="1" applyFont="1" applyFill="1" applyBorder="1" applyAlignment="1">
      <alignment horizontal="right" vertical="center" wrapText="1"/>
    </xf>
    <xf numFmtId="0" fontId="8" fillId="0" borderId="6" xfId="11" applyFont="1" applyBorder="1" applyAlignment="1">
      <alignment horizontal="center" vertical="center"/>
    </xf>
    <xf numFmtId="0" fontId="8" fillId="0" borderId="39" xfId="11" applyFont="1" applyBorder="1" applyAlignment="1">
      <alignment horizontal="center" vertical="center"/>
    </xf>
    <xf numFmtId="0" fontId="8" fillId="0" borderId="40" xfId="11" applyFont="1" applyBorder="1" applyAlignment="1">
      <alignment horizontal="center" vertical="center"/>
    </xf>
    <xf numFmtId="0" fontId="8" fillId="0" borderId="41" xfId="11" applyFont="1" applyBorder="1" applyAlignment="1">
      <alignment horizontal="center" vertical="center"/>
    </xf>
    <xf numFmtId="0" fontId="8" fillId="0" borderId="5" xfId="11" applyFont="1" applyBorder="1" applyAlignment="1">
      <alignment horizontal="center" vertical="center"/>
    </xf>
    <xf numFmtId="165" fontId="8" fillId="0" borderId="37" xfId="12" applyNumberFormat="1" applyFont="1" applyFill="1" applyBorder="1" applyAlignment="1">
      <alignment horizontal="center" vertical="center"/>
    </xf>
    <xf numFmtId="165" fontId="8" fillId="0" borderId="15" xfId="12" applyNumberFormat="1" applyFont="1" applyFill="1" applyBorder="1" applyAlignment="1">
      <alignment horizontal="center" vertical="center"/>
    </xf>
    <xf numFmtId="165" fontId="8" fillId="0" borderId="38" xfId="12" applyNumberFormat="1" applyFont="1" applyFill="1" applyBorder="1" applyAlignment="1">
      <alignment horizontal="center" vertical="center"/>
    </xf>
    <xf numFmtId="0" fontId="8" fillId="0" borderId="37" xfId="11" applyFont="1" applyBorder="1" applyAlignment="1">
      <alignment horizontal="center"/>
    </xf>
    <xf numFmtId="0" fontId="8" fillId="0" borderId="38" xfId="11" applyFont="1" applyBorder="1" applyAlignment="1">
      <alignment horizontal="center"/>
    </xf>
    <xf numFmtId="165" fontId="8" fillId="0" borderId="37" xfId="12" applyNumberFormat="1" applyFont="1" applyFill="1" applyBorder="1" applyAlignment="1">
      <alignment horizontal="center"/>
    </xf>
    <xf numFmtId="165" fontId="8" fillId="0" borderId="15" xfId="12" applyNumberFormat="1" applyFont="1" applyFill="1" applyBorder="1" applyAlignment="1">
      <alignment horizontal="center"/>
    </xf>
    <xf numFmtId="165" fontId="8" fillId="0" borderId="38" xfId="12" applyNumberFormat="1" applyFont="1" applyFill="1" applyBorder="1" applyAlignment="1">
      <alignment horizontal="center"/>
    </xf>
    <xf numFmtId="0" fontId="8" fillId="0" borderId="14" xfId="11" applyFont="1" applyBorder="1" applyAlignment="1">
      <alignment horizontal="center" vertical="center"/>
    </xf>
    <xf numFmtId="165" fontId="8" fillId="0" borderId="34" xfId="12" applyNumberFormat="1" applyFont="1" applyFill="1" applyBorder="1" applyAlignment="1">
      <alignment horizontal="center" vertical="center"/>
    </xf>
    <xf numFmtId="165" fontId="8" fillId="0" borderId="35" xfId="12" applyNumberFormat="1" applyFont="1" applyFill="1" applyBorder="1" applyAlignment="1">
      <alignment horizontal="center" vertical="center"/>
    </xf>
    <xf numFmtId="165" fontId="8" fillId="0" borderId="36" xfId="12" applyNumberFormat="1" applyFont="1" applyFill="1" applyBorder="1" applyAlignment="1">
      <alignment horizontal="center" vertical="center"/>
    </xf>
    <xf numFmtId="0" fontId="167" fillId="0" borderId="0" xfId="11" applyFont="1" applyAlignment="1">
      <alignment horizontal="center" vertical="center"/>
    </xf>
    <xf numFmtId="0" fontId="168" fillId="0" borderId="0" xfId="0" applyFont="1" applyAlignment="1">
      <alignment horizontal="center"/>
    </xf>
    <xf numFmtId="0" fontId="168" fillId="0" borderId="0" xfId="11" applyFont="1" applyAlignment="1">
      <alignment horizontal="center" vertical="center"/>
    </xf>
    <xf numFmtId="0" fontId="39" fillId="0" borderId="2" xfId="0" applyFont="1" applyBorder="1" applyAlignment="1">
      <alignment horizontal="left" vertical="center"/>
    </xf>
    <xf numFmtId="0" fontId="39" fillId="0" borderId="11" xfId="0" applyFont="1" applyBorder="1" applyAlignment="1">
      <alignment horizontal="left" vertical="center"/>
    </xf>
    <xf numFmtId="0" fontId="39" fillId="0" borderId="3" xfId="0" applyFont="1" applyBorder="1" applyAlignment="1">
      <alignment horizontal="left" vertical="center"/>
    </xf>
    <xf numFmtId="0" fontId="39" fillId="0" borderId="1" xfId="11" applyFont="1" applyBorder="1" applyAlignment="1">
      <alignment horizontal="left" vertical="center"/>
    </xf>
    <xf numFmtId="0" fontId="166" fillId="0" borderId="4" xfId="0" applyFont="1" applyBorder="1" applyAlignment="1">
      <alignment horizontal="left" vertical="center" wrapText="1" indent="1"/>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2"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52" xfId="0" applyFont="1" applyBorder="1" applyAlignment="1">
      <alignment horizontal="left" vertical="center" indent="1"/>
    </xf>
    <xf numFmtId="0" fontId="175" fillId="0" borderId="48" xfId="0" applyFont="1" applyBorder="1" applyAlignment="1">
      <alignment horizontal="left" vertical="center" wrapText="1"/>
    </xf>
    <xf numFmtId="0" fontId="166" fillId="0" borderId="48" xfId="0" applyFont="1" applyBorder="1" applyAlignment="1">
      <alignment horizontal="left" vertical="center" wrapText="1"/>
    </xf>
    <xf numFmtId="0" fontId="12" fillId="0" borderId="37" xfId="0" applyFont="1" applyBorder="1" applyAlignment="1">
      <alignment horizontal="center" vertical="center"/>
    </xf>
    <xf numFmtId="0" fontId="12" fillId="0" borderId="15" xfId="0" applyFont="1" applyBorder="1" applyAlignment="1">
      <alignment horizontal="center" vertical="center"/>
    </xf>
    <xf numFmtId="0" fontId="12" fillId="0" borderId="38" xfId="0" applyFont="1" applyBorder="1" applyAlignment="1">
      <alignment horizontal="center" vertical="center"/>
    </xf>
    <xf numFmtId="0" fontId="12" fillId="0" borderId="7" xfId="0" applyFont="1" applyBorder="1" applyAlignment="1">
      <alignment horizontal="left" vertical="center" indent="1"/>
    </xf>
    <xf numFmtId="0" fontId="12" fillId="0" borderId="5" xfId="0" applyFont="1" applyBorder="1" applyAlignment="1">
      <alignment horizontal="left" vertical="center" indent="1"/>
    </xf>
    <xf numFmtId="0" fontId="172" fillId="0" borderId="0" xfId="0" applyFont="1" applyAlignment="1">
      <alignment horizontal="center" vertical="center" wrapText="1"/>
    </xf>
    <xf numFmtId="0" fontId="170" fillId="0" borderId="0" xfId="0" applyFont="1" applyAlignment="1">
      <alignment horizontal="center" vertical="center"/>
    </xf>
    <xf numFmtId="3" fontId="170" fillId="0" borderId="2" xfId="0" applyNumberFormat="1" applyFont="1" applyBorder="1" applyAlignment="1">
      <alignment horizontal="center" vertical="center"/>
    </xf>
    <xf numFmtId="3" fontId="170" fillId="0" borderId="11" xfId="0" applyNumberFormat="1" applyFont="1" applyBorder="1" applyAlignment="1">
      <alignment horizontal="center" vertical="center"/>
    </xf>
    <xf numFmtId="3" fontId="170" fillId="0" borderId="3" xfId="0" applyNumberFormat="1" applyFont="1" applyBorder="1" applyAlignment="1">
      <alignment horizontal="center" vertical="center"/>
    </xf>
    <xf numFmtId="0" fontId="171" fillId="0" borderId="1" xfId="0" applyFont="1" applyBorder="1" applyAlignment="1">
      <alignment horizontal="center" vertical="center"/>
    </xf>
    <xf numFmtId="0" fontId="0" fillId="0" borderId="11" xfId="0" applyBorder="1"/>
    <xf numFmtId="0" fontId="0" fillId="0" borderId="3" xfId="0" applyBorder="1"/>
  </cellXfs>
  <cellStyles count="1394">
    <cellStyle name="_x0001_" xfId="47" xr:uid="{80FB637E-8A1F-4912-87E2-1AE08DCC1E97}"/>
    <cellStyle name="_x0007_" xfId="1364" xr:uid="{8EBA43B5-E255-4958-8112-758F2F4BC3FC}"/>
    <cellStyle name="??" xfId="48" xr:uid="{99932222-5551-4E94-B220-53CD5265E000}"/>
    <cellStyle name="?? [0.00]_ Att. 1- Cover" xfId="49" xr:uid="{5CA4BDCD-DA2F-4F21-AAC8-7399297602A6}"/>
    <cellStyle name="?? [0]" xfId="50" xr:uid="{9897DE0D-C741-49C8-8FDD-298417DEF36D}"/>
    <cellStyle name="??&amp;O?&amp;H?_x0008_??_x0007__x0001__x0001_" xfId="51" xr:uid="{256B9BD5-984C-4E41-91A6-51308BF5F22A}"/>
    <cellStyle name="?_x001d_??" xfId="52" xr:uid="{AC3BC640-A38B-47C1-8A56-5408D2409743}"/>
    <cellStyle name="?_x001d_??%U©÷u" xfId="53" xr:uid="{224FB26E-BEAB-4C3F-87CE-4334DAF1A6F9}"/>
    <cellStyle name="?_x001d_??%U©÷u&amp;H©÷" xfId="54" xr:uid="{7E1E8E02-55EF-4796-B377-CEEB2C244369}"/>
    <cellStyle name="?_x001d_??%U©÷u&amp;H©÷9_x0008_? " xfId="55" xr:uid="{699C1C62-2573-4E29-8F29-A5CBAACECB4E}"/>
    <cellStyle name="?_x001d_??%U©÷u&amp;H©÷9_x0008_? s_x000a__x0007__x0001__x0001_" xfId="56" xr:uid="{05859D51-386F-42D0-8A64-DD812A6F8DDD}"/>
    <cellStyle name="?_x001d_??%U²u&amp;H²9_x0008_? s_x000a__x0007__x0001__x0001_" xfId="57" xr:uid="{9B20A94A-4AC4-474A-8BD8-FC2B45552EFF}"/>
    <cellStyle name="???? [0.00]_List-dwg" xfId="58" xr:uid="{3E8AF798-0EE9-4D02-9822-B6DB28596077}"/>
    <cellStyle name="????_List-dwg" xfId="59" xr:uid="{4BF9C222-FF8D-49D5-97B3-912DE0EC53FA}"/>
    <cellStyle name="???[0]_?? DI" xfId="60" xr:uid="{D3BBEF02-ACAF-43D2-8546-DC413318DF66}"/>
    <cellStyle name="???_?? DI" xfId="61" xr:uid="{51E47A32-ABDF-4F42-A254-9F83BB3ADE9C}"/>
    <cellStyle name="??[0]_BRE" xfId="62" xr:uid="{ECEDC1CE-9356-4571-B53B-B9CF35BB4190}"/>
    <cellStyle name="??_ ??? ???? " xfId="63" xr:uid="{F83958CB-DAAF-40A9-AF14-07065DCBA4DF}"/>
    <cellStyle name="??A? [0]_laroux_1_¸???™? " xfId="64" xr:uid="{35F6CCB3-FCA3-41BE-9F48-79CA798D7FEF}"/>
    <cellStyle name="??A?_laroux_1_¸???™? " xfId="65" xr:uid="{1ECA8793-07EF-4085-B0E7-8A9A40336CB5}"/>
    <cellStyle name="?¡±¢¥?_?¨ù??¢´¢¥_¢¬???¢â? " xfId="66" xr:uid="{80B855A1-8B9D-4C29-AF89-B9658459A25A}"/>
    <cellStyle name="?”´?_?¼??¤´_¸???™? " xfId="67" xr:uid="{BDF4DEBF-2B66-4151-A410-2D81945C50FD}"/>
    <cellStyle name="?ðÇ" xfId="68" xr:uid="{347DF711-1EE6-485F-9365-4479B5B675EE}"/>
    <cellStyle name="?ðÇ%" xfId="69" xr:uid="{BA8B067F-6005-42B5-8AC1-731116BDF994}"/>
    <cellStyle name="?ðÇ%U?&amp;H" xfId="70" xr:uid="{270F168F-7A1E-4B3C-9E7F-C7DDB5695887}"/>
    <cellStyle name="?ðÇ%U?&amp;H?_x0008_?s_x000a__x0007__x0001__x0001_" xfId="71" xr:uid="{07084AAC-9B57-4283-B6CC-2A3400762FDD}"/>
    <cellStyle name="?曹%U?&amp;H?_x0008_?s_x000a__x0007__x0001__x0001_" xfId="72" xr:uid="{FC1D543F-02F8-4A95-87E2-9ECFB1C843C8}"/>
    <cellStyle name="[0]_Chi phÝ kh¸c_V" xfId="73" xr:uid="{59DB0D0A-CF7D-4C6B-86AC-00D6877B07F3}"/>
    <cellStyle name="_04 (vn)SECC Bills of Quantities" xfId="74" xr:uid="{84BBD52F-1B2F-46F6-A347-B635C41E0EB7}"/>
    <cellStyle name="_1107" xfId="75" xr:uid="{876814AD-55AB-4E2C-A0DB-1788CAAFBE40}"/>
    <cellStyle name="_Bang Chi tieu (2)" xfId="76" xr:uid="{9592EBDB-8A6B-4431-9931-4980DBB85D2A}"/>
    <cellStyle name="_Book1" xfId="77" xr:uid="{51C475C3-839F-4F65-A0C3-BD5145F8759B}"/>
    <cellStyle name="_Book1_1" xfId="78" xr:uid="{D7147A68-94E1-40C0-93EB-AC8979E07618}"/>
    <cellStyle name="_Book1_1_BOQ-Thuan thao (Tai 07May)" xfId="79" xr:uid="{408AF7E6-8276-4C54-A890-D8F4D8A8F3B8}"/>
    <cellStyle name="_Book1_1_CAU TAO GIA THE OCEAN VILLAS DANANG" xfId="80" xr:uid="{B87D09B1-7680-4599-82BE-FBBC8F9967B6}"/>
    <cellStyle name="_Book1_2" xfId="81" xr:uid="{7386CA33-C2DA-492B-9DDF-686D471DF6A4}"/>
    <cellStyle name="_Book1_BC-QT-WB-dthao" xfId="82" xr:uid="{8216EB20-47F1-49BB-BE1E-51D562EBE6D7}"/>
    <cellStyle name="_Book1_Book1" xfId="83" xr:uid="{8EDACBCF-2038-4262-BAE3-2211C2F76D3E}"/>
    <cellStyle name="_Book1_BOQ-Thuan thao (Tai 07May)" xfId="84" xr:uid="{D8FCCD1A-F838-4A26-90EF-362898A7CF77}"/>
    <cellStyle name="_Book1_CAU TAO GIA THE OCEAN VILLAS DANANG" xfId="85" xr:uid="{C0BCBB16-33AB-4ED3-BF6D-CAF451D2BAA3}"/>
    <cellStyle name="_Book1_Thong tin chung Groz" xfId="86" xr:uid="{D1F9459B-54FE-4BF9-9CB1-4C30E422A72E}"/>
    <cellStyle name="_Book2" xfId="87" xr:uid="{A0EEC64F-E295-40BE-AD8E-02EF24164269}"/>
    <cellStyle name="_Book2_Cau tao gia Arico T2-2009" xfId="88" xr:uid="{C2C81799-57B2-4535-9CE9-DE1D244866E5}"/>
    <cellStyle name="_Book2_Cau tao gia Arico T2-2009_08. BoQ Vinamilk My Phuoc 2 BD - Rev.00 (Tong hop XD-M&amp;E)-29.09.09" xfId="89" xr:uid="{9B21B3DB-A571-4E71-BB84-DE0805D83B59}"/>
    <cellStyle name="_Book2_CTC - BoQ Agrex Building" xfId="90" xr:uid="{F92B6FF2-0B45-44C9-853D-0B7FBD4197F4}"/>
    <cellStyle name="_BOQ of exhaust fan" xfId="91" xr:uid="{234525F5-3E32-46BD-B3C8-708107448AF6}"/>
    <cellStyle name="_BOQ- Phan XD-COTECCONS (02-4-08)" xfId="92" xr:uid="{D1929253-5AA6-4FDC-9458-1A960782AB32}"/>
    <cellStyle name="_BoQ-E-TOWN 2 Building -COTECCONS" xfId="93" xr:uid="{EE3AA030-FC5B-47A3-909F-9EE453C5936C}"/>
    <cellStyle name="_Cau tao gia Nop thau Mau" xfId="94" xr:uid="{00ACDDB6-0DFC-410A-A31B-993B9B424B3E}"/>
    <cellStyle name="_CAU TAO GIA THE OCEAN VILLAS DANANG" xfId="95" xr:uid="{84BF1630-A23D-4D60-8D86-CCAFD849B11F}"/>
    <cellStyle name="_Cau tao gia Thien Long Ha Nam (28-2-08)" xfId="96" xr:uid="{6C302D7C-007C-42F6-8856-C32198589623}"/>
    <cellStyle name="_x0001__Cong tac CBi" xfId="97" xr:uid="{8C7D3C05-17B7-4EBF-AE46-348FEDA92B11}"/>
    <cellStyle name="_x0001__Cong tac chuan bi Cao su" xfId="98" xr:uid="{B0EED627-6DDC-433E-8568-79372046BBD2}"/>
    <cellStyle name="_cong tac chuan bi Nhatrang Plaza" xfId="99" xr:uid="{986F7BCC-1EA2-484D-9C34-3B201BC9D18B}"/>
    <cellStyle name="_Cong tac chuan bi-Thanh" xfId="100" xr:uid="{289F6691-450A-483F-BBE6-130EE1AFBA15}"/>
    <cellStyle name="_CTC - BoQ Agrex Building" xfId="101" xr:uid="{99A5FC7C-588E-4610-834A-AE269C302733}"/>
    <cellStyle name="_x0001__CTC - BoQ Agrex Building" xfId="102" xr:uid="{B8B235E5-7B4D-4CDC-AA27-D27C25F25690}"/>
    <cellStyle name="_dutoan1" xfId="103" xr:uid="{C0D72C0D-503F-478B-A1F9-AB25DFF3B4BA}"/>
    <cellStyle name="_Final Summary Richland Hill (30-9-08)" xfId="104" xr:uid="{F0D171DF-E2A4-4A95-A939-E6B2680348A9}"/>
    <cellStyle name="_giatonghop thanhtoan d1" xfId="105" xr:uid="{4C055820-5FE1-4AF0-9672-BAFFF2D9402E}"/>
    <cellStyle name="_Khoi Luong" xfId="393" xr:uid="{6298257B-6975-4B66-94DD-B95D54DE0D32}"/>
    <cellStyle name="_KT (2)" xfId="106" xr:uid="{D69551D0-B04D-433C-8783-C76CB8B7ECAB}"/>
    <cellStyle name="_KT (2)_1" xfId="107" xr:uid="{C93A69F7-8F68-4F7D-A360-4B57FE7E04C6}"/>
    <cellStyle name="_KT (2)_1_Lora-tungchau" xfId="108" xr:uid="{CBC63951-0C84-4155-96B5-7450797A62CC}"/>
    <cellStyle name="_KT (2)_1_Qt-HT3PQ1(CauKho)" xfId="109" xr:uid="{F9C5C874-412A-4149-A059-7E6DC238F24C}"/>
    <cellStyle name="_KT (2)_2" xfId="110" xr:uid="{5B19F68F-F050-46D7-AAAD-9940CB6D8E64}"/>
    <cellStyle name="_KT (2)_2_TG-TH" xfId="111" xr:uid="{5C0663B8-D4E3-4E3B-A193-FEFA6283242C}"/>
    <cellStyle name="_KT (2)_2_TG-TH_BAO CAO KLCT PT2000" xfId="112" xr:uid="{E189EC01-FFA5-4386-9FD6-D97588564263}"/>
    <cellStyle name="_KT (2)_2_TG-TH_BAO CAO PT2000" xfId="113" xr:uid="{1B83A044-EAD8-4BC5-9282-63A1A80A1C4A}"/>
    <cellStyle name="_KT (2)_2_TG-TH_BAO CAO PT2000_Book1" xfId="114" xr:uid="{D5AB704D-EBE9-4F08-9D8C-EC57BFEDF0EE}"/>
    <cellStyle name="_KT (2)_2_TG-TH_Bao cao XDCB 2001 - T11 KH dieu chinh 20-11-THAI" xfId="115" xr:uid="{3FC6C581-AE88-4269-B7AD-93BAC7092F4C}"/>
    <cellStyle name="_KT (2)_2_TG-TH_Book1" xfId="116" xr:uid="{C0900198-F60F-4175-A5A0-58301C2C0D09}"/>
    <cellStyle name="_KT (2)_2_TG-TH_Book1_1" xfId="117" xr:uid="{27217451-FFC2-4A31-BD5B-F43C817E52B0}"/>
    <cellStyle name="_KT (2)_2_TG-TH_Book1_1_Cong tac chuan bi Cao su" xfId="118" xr:uid="{0BAC4531-5D17-4178-AC56-461D0A54059D}"/>
    <cellStyle name="_KT (2)_2_TG-TH_Book1_1_CTC - BoQ Agrex Building" xfId="119" xr:uid="{C2139B51-475E-4E78-AC01-E4CD1B327034}"/>
    <cellStyle name="_KT (2)_2_TG-TH_Book1_2" xfId="120" xr:uid="{8DBF2AD2-0486-4639-98C0-243F312031A7}"/>
    <cellStyle name="_KT (2)_2_TG-TH_Book1_2_Cong tac chuan bi Cao su" xfId="121" xr:uid="{F380DF55-6F49-482B-81B0-3C49B1A5F459}"/>
    <cellStyle name="_KT (2)_2_TG-TH_Book1_3" xfId="122" xr:uid="{B2AB5B59-B335-4CF7-B9C8-E41CDB7E7B17}"/>
    <cellStyle name="_KT (2)_2_TG-TH_Book1_4" xfId="123" xr:uid="{A9A75D6B-30EB-4ECD-9A1F-41AAA98283CE}"/>
    <cellStyle name="_KT (2)_2_TG-TH_Book1_Book2" xfId="124" xr:uid="{0804F726-6DBF-417B-B62D-9F289405C975}"/>
    <cellStyle name="_KT (2)_2_TG-TH_Book1_BOQ-Thuan thao (Tai 07May)" xfId="125" xr:uid="{385BCA54-A9AA-4F95-98D9-9BE0A652704B}"/>
    <cellStyle name="_KT (2)_2_TG-TH_Book1_Cau tao gia Arico T2-2009" xfId="126" xr:uid="{EA6FF6A6-C3E5-48D2-826C-24D14845FA0C}"/>
    <cellStyle name="_KT (2)_2_TG-TH_Book1_Cau tao gia phan Tho (ham + Than) 15-9-08" xfId="127" xr:uid="{F6F33A1D-D8BE-4689-BEDE-868F9ABE7614}"/>
    <cellStyle name="_KT (2)_2_TG-TH_Book1_CAU TAO GIA THE OCEAN VILLAS DANANG" xfId="128" xr:uid="{8189A48F-D6D6-4D40-9222-ACF1DFF1EA0D}"/>
    <cellStyle name="_KT (2)_2_TG-TH_Book1_cong tac chuan bi Nhatrang Plaza" xfId="129" xr:uid="{407716DD-845F-4639-9673-EEF49D0EE61C}"/>
    <cellStyle name="_KT (2)_2_TG-TH_Book1_Cong tac chuan bi-Thanh" xfId="130" xr:uid="{FC399DE0-3227-4D0F-AFF3-34D3E5C498BE}"/>
    <cellStyle name="_KT (2)_2_TG-TH_Book1_Copy of Cau tao gia Mau" xfId="131" xr:uid="{68BB48FF-2563-49B9-9D48-3A7D461DED97}"/>
    <cellStyle name="_KT (2)_2_TG-TH_Book1_CTC - BoQ Agrex Building" xfId="132" xr:uid="{6ED52DC4-99D7-49D8-8750-FE862A080684}"/>
    <cellStyle name="_KT (2)_2_TG-TH_Book2" xfId="133" xr:uid="{C7AE0192-0743-456C-8989-EF4B0DE1B49C}"/>
    <cellStyle name="_KT (2)_2_TG-TH_BOQ-Thuan thao (Tai 07May)" xfId="134" xr:uid="{BD9308E8-9F40-4D02-A798-3AB1DCFA0BB6}"/>
    <cellStyle name="_KT (2)_2_TG-TH_Cau tao gia Arico T2-2009" xfId="135" xr:uid="{7E91768A-EECC-44E3-AA00-8EA1ABEAD024}"/>
    <cellStyle name="_KT (2)_2_TG-TH_Cau tao gia phan Tho (ham + Than) 15-9-08" xfId="136" xr:uid="{AFB16434-5B53-4237-9FDD-DF5BDE8F41BA}"/>
    <cellStyle name="_KT (2)_2_TG-TH_CAU TAO GIA THE OCEAN VILLAS DANANG" xfId="137" xr:uid="{BF91D75C-8DB9-4AE6-9BE5-D71669D21AA3}"/>
    <cellStyle name="_KT (2)_2_TG-TH_cong tac chuan bi Nhatrang Plaza" xfId="138" xr:uid="{4B67606D-B53C-4330-9492-77D32F884459}"/>
    <cellStyle name="_KT (2)_2_TG-TH_Cong tac chuan bi-Thanh" xfId="139" xr:uid="{AD20110B-D7C1-4C9C-AAEC-4E44CB88CC8A}"/>
    <cellStyle name="_KT (2)_2_TG-TH_Copy of Cau tao gia Mau" xfId="140" xr:uid="{C28A4EBA-37A4-4896-8C2A-0236959081C2}"/>
    <cellStyle name="_KT (2)_2_TG-TH_CROWN WELL 冠威報價單20071015" xfId="141" xr:uid="{DE07B52B-AB35-4766-87EF-1141CD813B8E}"/>
    <cellStyle name="_KT (2)_2_TG-TH_CTC - BoQ Agrex Building" xfId="142" xr:uid="{B5B93E5B-000D-4B16-A232-8C1DE727551E}"/>
    <cellStyle name="_KT (2)_2_TG-TH_DT kho 50x72 ,52x45m -11-5" xfId="143" xr:uid="{15AAF1CD-10E7-4C28-9989-C6BF425A14B4}"/>
    <cellStyle name="_KT (2)_2_TG-TH_DT kho 50x72 ,52x45m ASIA NUTRITION" xfId="144" xr:uid="{9377FECA-B971-461B-9A6F-48EDE7DF13D5}"/>
    <cellStyle name="_KT (2)_2_TG-TH_DTCDT MR.2N110.HOCMON.TDTOAN.CCUNG" xfId="145" xr:uid="{7991355E-9EEC-4743-988E-03057E22F90A}"/>
    <cellStyle name="_KT (2)_2_TG-TH_DTkho 52x70m ASIA NUTRITION" xfId="146" xr:uid="{7D7ED71A-B24B-4D44-8DAD-7005CCB9E4E9}"/>
    <cellStyle name="_KT (2)_2_TG-TH_DTkho 52x70m ASIA NUTRITION-change-tuong bt6m" xfId="147" xr:uid="{C7B27E1C-0DD3-4CD5-820D-2F54AD5E49E0}"/>
    <cellStyle name="_KT (2)_2_TG-TH_DTkho 52x70m ASIA NUTRITION-seno betong" xfId="148" xr:uid="{673337C7-491D-47F3-8347-CD39DD60606B}"/>
    <cellStyle name="_KT (2)_2_TG-TH_Lora-tungchau" xfId="149" xr:uid="{874D3661-2E53-4A69-BC32-14DB06EE992B}"/>
    <cellStyle name="_KT (2)_2_TG-TH_PGIA-phieu tham tra Kho bac" xfId="150" xr:uid="{D6917A83-D26D-4F9D-9BB3-923637C110E9}"/>
    <cellStyle name="_KT (2)_2_TG-TH_PT02-02" xfId="151" xr:uid="{64E8A811-6EA4-4ED9-9508-4FFCCDF491BD}"/>
    <cellStyle name="_KT (2)_2_TG-TH_PT02-02_Book1" xfId="152" xr:uid="{CAC83E75-7B4C-4891-A2BB-CCBBD81B0544}"/>
    <cellStyle name="_KT (2)_2_TG-TH_PT02-03" xfId="153" xr:uid="{EA5773C0-CBE0-4D0C-89A6-957AEE5F4BAC}"/>
    <cellStyle name="_KT (2)_2_TG-TH_PT02-03_Book1" xfId="154" xr:uid="{F5B4B8C4-F79F-40EF-AB93-9356A36B9C0B}"/>
    <cellStyle name="_KT (2)_2_TG-TH_Qt-HT3PQ1(CauKho)" xfId="155" xr:uid="{4520E874-D968-4656-87A3-BA23CF615D93}"/>
    <cellStyle name="_KT (2)_3" xfId="156" xr:uid="{2911CC08-6E1D-4FDF-9B5A-A64003E15FF7}"/>
    <cellStyle name="_KT (2)_3_TG-TH" xfId="157" xr:uid="{081AFF2B-9139-4894-ACC1-5FC2396F6ED0}"/>
    <cellStyle name="_KT (2)_3_TG-TH_Book1" xfId="158" xr:uid="{764B5CF3-ABEC-4989-BC23-2117D86FCA04}"/>
    <cellStyle name="_KT (2)_3_TG-TH_Book1_1" xfId="159" xr:uid="{78B79EAF-0EB4-48ED-9711-DA2C01A17BF5}"/>
    <cellStyle name="_KT (2)_3_TG-TH_Book1_BC-QT-WB-dthao" xfId="160" xr:uid="{528811B0-9398-4B0F-826E-5610D70C0548}"/>
    <cellStyle name="_KT (2)_3_TG-TH_Book1_BOQ-Thuan thao (Tai 07May)" xfId="161" xr:uid="{088137E8-C024-4BDD-AE2D-9CA2B338591E}"/>
    <cellStyle name="_KT (2)_3_TG-TH_Book1_CAU TAO GIA THE OCEAN VILLAS DANANG" xfId="162" xr:uid="{98EC5830-CEB7-4725-BA09-94B727E2940D}"/>
    <cellStyle name="_KT (2)_3_TG-TH_Book2" xfId="163" xr:uid="{B72A0B25-49CF-40C1-8187-668122AAB65B}"/>
    <cellStyle name="_KT (2)_3_TG-TH_BOQ-Thuan thao (Tai 07May)" xfId="164" xr:uid="{B5F9ABB3-0C43-45A0-9500-607C2A7D26DC}"/>
    <cellStyle name="_KT (2)_3_TG-TH_Cau tao gia Arico T2-2009" xfId="165" xr:uid="{1B9B85D8-1618-47B0-87B3-73BABCA1C73E}"/>
    <cellStyle name="_KT (2)_3_TG-TH_Cau tao gia phan Tho (ham + Than) 15-9-08" xfId="166" xr:uid="{62C6478C-B5F2-44A6-A154-2AE5FFEE6977}"/>
    <cellStyle name="_KT (2)_3_TG-TH_CAU TAO GIA THE OCEAN VILLAS DANANG" xfId="167" xr:uid="{B85F207F-0CC1-46B9-82FD-F3354151D2F2}"/>
    <cellStyle name="_KT (2)_3_TG-TH_cong tac chuan bi Nhatrang Plaza" xfId="168" xr:uid="{0805A053-3808-4E1C-B1E3-DAD0522C8463}"/>
    <cellStyle name="_KT (2)_3_TG-TH_Cong tac chuan bi-Thanh" xfId="169" xr:uid="{765EE4B0-FA98-459C-ADB4-66E9C9CAB120}"/>
    <cellStyle name="_KT (2)_3_TG-TH_Copy of Cau tao gia Mau" xfId="170" xr:uid="{8776998C-A539-432B-8314-0ADE2E9A67BB}"/>
    <cellStyle name="_KT (2)_3_TG-TH_CTC - BoQ Agrex Building" xfId="171" xr:uid="{11A761CD-D0F4-4B1E-B0FC-7D5608FFBBA8}"/>
    <cellStyle name="_KT (2)_3_TG-TH_Lora-tungchau" xfId="172" xr:uid="{7D2F36E2-083F-4201-8907-E12B5F961C7A}"/>
    <cellStyle name="_KT (2)_3_TG-TH_PERSONAL" xfId="173" xr:uid="{C931A6AB-FD6D-439C-B807-E4E83EC700F4}"/>
    <cellStyle name="_KT (2)_3_TG-TH_PERSONAL_Book1" xfId="174" xr:uid="{EB35D4E3-2696-4C25-BDC2-73AEA09F54F8}"/>
    <cellStyle name="_KT (2)_3_TG-TH_PERSONAL_BOQ-Thuan thao (Tai 07May)" xfId="175" xr:uid="{AAEF5BE9-A1AE-4C7D-9CAD-AD35E2877FB5}"/>
    <cellStyle name="_KT (2)_3_TG-TH_PERSONAL_CAU TAO GIA THE OCEAN VILLAS DANANG" xfId="176" xr:uid="{B8CB9718-A1B0-4FAA-A350-C5CE54FDCC75}"/>
    <cellStyle name="_KT (2)_3_TG-TH_PERSONAL_Copy of Cau tao gia Mau" xfId="177" xr:uid="{B1C4320A-7F5F-4FEC-B130-E695BF8B604F}"/>
    <cellStyle name="_KT (2)_3_TG-TH_PERSONAL_HTQ.8 GD1" xfId="178" xr:uid="{14353F03-BAA1-489C-BEA9-4892BA6C574F}"/>
    <cellStyle name="_KT (2)_3_TG-TH_PERSONAL_Tong hop KHCB 2001" xfId="179" xr:uid="{A595A131-CA47-4F5F-B049-03D322CEF2A1}"/>
    <cellStyle name="_KT (2)_3_TG-TH_Qt-HT3PQ1(CauKho)" xfId="180" xr:uid="{B53A6CDC-34E8-45DD-80CD-D5518584A3BE}"/>
    <cellStyle name="_KT (2)_4" xfId="181" xr:uid="{7A8B878F-801F-4FB6-AB31-119A948E3F5A}"/>
    <cellStyle name="_KT (2)_4_BAO CAO KLCT PT2000" xfId="182" xr:uid="{954AF1E5-415A-4A14-BC74-2800EF53131B}"/>
    <cellStyle name="_KT (2)_4_BAO CAO PT2000" xfId="183" xr:uid="{1F7720E1-D16F-46A0-B22A-AD43705802FE}"/>
    <cellStyle name="_KT (2)_4_BAO CAO PT2000_Book1" xfId="184" xr:uid="{E5DC263E-35F3-4B5F-9DA9-F8EF97328486}"/>
    <cellStyle name="_KT (2)_4_Bao cao XDCB 2001 - T11 KH dieu chinh 20-11-THAI" xfId="185" xr:uid="{8E4F5A7E-7A40-46DC-A33A-4D4C9D01D339}"/>
    <cellStyle name="_KT (2)_4_Book1" xfId="186" xr:uid="{266DA22F-3030-4BF5-996D-9D8CC54D6281}"/>
    <cellStyle name="_KT (2)_4_Book1_1" xfId="187" xr:uid="{39BD4727-AFCD-4B85-BCBA-CD2F69561E69}"/>
    <cellStyle name="_KT (2)_4_Book1_1_Cong tac chuan bi Cao su" xfId="188" xr:uid="{049ED99B-0BCB-473F-A7EE-EB1AE1838217}"/>
    <cellStyle name="_KT (2)_4_Book1_1_CTC - BoQ Agrex Building" xfId="189" xr:uid="{9BCED34E-BAFE-41D9-9C91-1DFC05DB0AF0}"/>
    <cellStyle name="_KT (2)_4_Book1_2" xfId="190" xr:uid="{B1828B83-04E9-447B-84C1-89DDA2ED07AA}"/>
    <cellStyle name="_KT (2)_4_Book1_2_Cong tac chuan bi Cao su" xfId="191" xr:uid="{4A94F4BD-108F-413F-BDCB-8AF2A49FCB01}"/>
    <cellStyle name="_KT (2)_4_Book1_3" xfId="192" xr:uid="{F9E1EA20-6528-4510-BBEB-0859EFD755FC}"/>
    <cellStyle name="_KT (2)_4_Book1_4" xfId="193" xr:uid="{C73DBC9D-29E7-4B53-A3F0-12E0DA416594}"/>
    <cellStyle name="_KT (2)_4_Book1_Book2" xfId="194" xr:uid="{D08B18A1-5B2C-4900-A48A-6E4AF978450F}"/>
    <cellStyle name="_KT (2)_4_Book1_BOQ-Thuan thao (Tai 07May)" xfId="195" xr:uid="{37C30EE2-A271-46ED-9381-17F9BC86E0FB}"/>
    <cellStyle name="_KT (2)_4_Book1_Cau tao gia Arico T2-2009" xfId="196" xr:uid="{E007A992-F2A1-495F-BC18-DC602D9E4715}"/>
    <cellStyle name="_KT (2)_4_Book1_Cau tao gia phan Tho (ham + Than) 15-9-08" xfId="197" xr:uid="{B7050311-7B87-4D36-B397-0C868577276B}"/>
    <cellStyle name="_KT (2)_4_Book1_CAU TAO GIA THE OCEAN VILLAS DANANG" xfId="198" xr:uid="{C2AFE441-7173-4F3D-BFDE-09F41C0CADAA}"/>
    <cellStyle name="_KT (2)_4_Book1_cong tac chuan bi Nhatrang Plaza" xfId="199" xr:uid="{E47C68B1-986C-4482-9EFF-5515CFB52393}"/>
    <cellStyle name="_KT (2)_4_Book1_Cong tac chuan bi-Thanh" xfId="200" xr:uid="{7E84B143-572A-48CC-9EE1-349E9FA6E49D}"/>
    <cellStyle name="_KT (2)_4_Book1_Copy of Cau tao gia Mau" xfId="201" xr:uid="{0FAE7051-5504-4B67-92DF-FE52B9C95F4F}"/>
    <cellStyle name="_KT (2)_4_Book1_CTC - BoQ Agrex Building" xfId="202" xr:uid="{F0523B1E-59CE-4043-9164-A547916A2EBB}"/>
    <cellStyle name="_KT (2)_4_Book2" xfId="203" xr:uid="{C362DE2E-344C-471C-88E1-7FE5B1EDCD39}"/>
    <cellStyle name="_KT (2)_4_BOQ-Thuan thao (Tai 07May)" xfId="204" xr:uid="{9375C78E-C5EF-43B9-958E-7F10D9DAA0E2}"/>
    <cellStyle name="_KT (2)_4_Cau tao gia Arico T2-2009" xfId="205" xr:uid="{FFB19A03-3E0B-4F2B-A661-5B08DC8BEB72}"/>
    <cellStyle name="_KT (2)_4_Cau tao gia phan Tho (ham + Than) 15-9-08" xfId="206" xr:uid="{67213D5A-BEF2-4445-9DD4-150BEF4F2D3C}"/>
    <cellStyle name="_KT (2)_4_CAU TAO GIA THE OCEAN VILLAS DANANG" xfId="207" xr:uid="{C74C3067-3C81-436F-AC08-EAF3EDEDF88A}"/>
    <cellStyle name="_KT (2)_4_cong tac chuan bi Nhatrang Plaza" xfId="208" xr:uid="{7D581FFE-F653-4401-8545-25174696FDFC}"/>
    <cellStyle name="_KT (2)_4_Cong tac chuan bi-Thanh" xfId="209" xr:uid="{9593FC09-E1A4-4CE5-9A29-0FAFBA5D4984}"/>
    <cellStyle name="_KT (2)_4_Copy of Cau tao gia Mau" xfId="210" xr:uid="{52E53EE9-A0FB-4EBA-9C95-8314A1AB3E8D}"/>
    <cellStyle name="_KT (2)_4_CROWN WELL 冠威報價單20071015" xfId="211" xr:uid="{05063637-E0FD-412A-B5DA-5092D3ED4A5A}"/>
    <cellStyle name="_KT (2)_4_CTC - BoQ Agrex Building" xfId="212" xr:uid="{C7918CE8-2A19-4654-9093-D1889895438D}"/>
    <cellStyle name="_KT (2)_4_DT kho 50x72 ,52x45m -11-5" xfId="213" xr:uid="{EF87E43A-5B64-4BCE-9FDF-56A74A69FE5D}"/>
    <cellStyle name="_KT (2)_4_DT kho 50x72 ,52x45m ASIA NUTRITION" xfId="214" xr:uid="{6EC03276-71F6-459D-B0D7-1104BE5343EE}"/>
    <cellStyle name="_KT (2)_4_DTCDT MR.2N110.HOCMON.TDTOAN.CCUNG" xfId="215" xr:uid="{B063AC7A-DB80-4EC2-BEC0-BD01653F99A3}"/>
    <cellStyle name="_KT (2)_4_DTkho 52x70m ASIA NUTRITION" xfId="216" xr:uid="{43863543-A61E-47C6-B435-FAA019A06B82}"/>
    <cellStyle name="_KT (2)_4_DTkho 52x70m ASIA NUTRITION-change-tuong bt6m" xfId="217" xr:uid="{56E4B0D6-5829-4128-BD30-74EF712A9934}"/>
    <cellStyle name="_KT (2)_4_DTkho 52x70m ASIA NUTRITION-seno betong" xfId="218" xr:uid="{F8D1E52E-4B1B-4E88-BC03-1BE18B19612E}"/>
    <cellStyle name="_KT (2)_4_Lora-tungchau" xfId="219" xr:uid="{EA0D9985-A4BD-4701-BEB2-9AE9510AFB35}"/>
    <cellStyle name="_KT (2)_4_PGIA-phieu tham tra Kho bac" xfId="220" xr:uid="{7B10600C-FA6F-442B-BFDC-8F364FFD840E}"/>
    <cellStyle name="_KT (2)_4_PT02-02" xfId="221" xr:uid="{C454633B-228E-4E3B-AB77-E9F7AEC46975}"/>
    <cellStyle name="_KT (2)_4_PT02-02_Book1" xfId="222" xr:uid="{97FC965D-1E11-4D9F-BC49-20A77AD8015D}"/>
    <cellStyle name="_KT (2)_4_PT02-03" xfId="223" xr:uid="{AFEEC54A-8F0A-4C87-9200-73CB6E9DDD8D}"/>
    <cellStyle name="_KT (2)_4_PT02-03_Book1" xfId="224" xr:uid="{A6752462-9D3B-47B8-8AFA-C93055CB4974}"/>
    <cellStyle name="_KT (2)_4_Qt-HT3PQ1(CauKho)" xfId="225" xr:uid="{46423418-9C82-4345-9275-B74CC8C529D4}"/>
    <cellStyle name="_KT (2)_4_TG-TH" xfId="226" xr:uid="{76D4D328-0A12-448C-8B29-323CF9CA943D}"/>
    <cellStyle name="_KT (2)_5" xfId="227" xr:uid="{A00155FB-BD2A-4CF4-A48D-9CD7FD4402EC}"/>
    <cellStyle name="_KT (2)_5_BAO CAO KLCT PT2000" xfId="228" xr:uid="{E2D92A48-E78F-4A55-854B-3ACC8EC2AFEC}"/>
    <cellStyle name="_KT (2)_5_BAO CAO PT2000" xfId="229" xr:uid="{89CCE81C-60BF-4AB5-BCCB-1508B4C42F05}"/>
    <cellStyle name="_KT (2)_5_BAO CAO PT2000_Book1" xfId="230" xr:uid="{541AED30-AAF5-42BC-9C6A-B3DE1A577FDA}"/>
    <cellStyle name="_KT (2)_5_Bao cao XDCB 2001 - T11 KH dieu chinh 20-11-THAI" xfId="231" xr:uid="{82A89555-EDDB-4A56-95DE-C9300C3AC2E2}"/>
    <cellStyle name="_KT (2)_5_Book1" xfId="232" xr:uid="{458440C6-A624-4B6A-A1D2-FEE455BCFDE6}"/>
    <cellStyle name="_KT (2)_5_Book1_1" xfId="233" xr:uid="{57706EFA-8AB7-41CA-91FE-709CF64F73EA}"/>
    <cellStyle name="_KT (2)_5_Book1_1_Cong tac chuan bi Cao su" xfId="234" xr:uid="{D3F21267-359D-482C-A6E3-E09175760A5B}"/>
    <cellStyle name="_KT (2)_5_Book1_1_CTC - BoQ Agrex Building" xfId="235" xr:uid="{807CDCAE-F73C-47CE-8AB8-34017C07F838}"/>
    <cellStyle name="_KT (2)_5_Book1_2" xfId="236" xr:uid="{DE027126-FD55-4A78-B5FE-70ABE45909A1}"/>
    <cellStyle name="_KT (2)_5_Book1_2_Cong tac chuan bi Cao su" xfId="237" xr:uid="{83CF996D-76D1-4989-A8CC-7C56B75D3156}"/>
    <cellStyle name="_KT (2)_5_Book1_3" xfId="238" xr:uid="{37359E9A-D3FA-4D98-BD1C-3721610676E1}"/>
    <cellStyle name="_KT (2)_5_Book1_4" xfId="239" xr:uid="{9E7885A6-EAF3-4903-9A8E-83BB2CACED9A}"/>
    <cellStyle name="_KT (2)_5_Book1_BC-QT-WB-dthao" xfId="240" xr:uid="{2A6B29F4-D7C4-4D25-9EE5-D561CD3634CA}"/>
    <cellStyle name="_KT (2)_5_Book1_Book2" xfId="241" xr:uid="{24D22391-0CED-4E2F-BED7-2DEE386C47C5}"/>
    <cellStyle name="_KT (2)_5_Book1_BOQ-Thuan thao (Tai 07May)" xfId="242" xr:uid="{4D994740-E5D0-48F8-BD61-2F49F65DC958}"/>
    <cellStyle name="_KT (2)_5_Book1_Cau tao gia Arico T2-2009" xfId="243" xr:uid="{2A098704-046E-4C3C-8B90-922B5A1B8BA1}"/>
    <cellStyle name="_KT (2)_5_Book1_Cau tao gia phan Tho (ham + Than) 15-9-08" xfId="244" xr:uid="{7E4F8F5F-3A58-4A6F-B210-CEA8C1F9566D}"/>
    <cellStyle name="_KT (2)_5_Book1_CAU TAO GIA THE OCEAN VILLAS DANANG" xfId="245" xr:uid="{D1FC868A-8B4C-4301-B09C-F373BD14E4FA}"/>
    <cellStyle name="_KT (2)_5_Book1_cong tac chuan bi Nhatrang Plaza" xfId="246" xr:uid="{1D95DD04-F265-43D9-BB8F-2D34FADDC827}"/>
    <cellStyle name="_KT (2)_5_Book1_Cong tac chuan bi-Thanh" xfId="247" xr:uid="{70959E4C-D990-455F-9FA5-531E2169C4D3}"/>
    <cellStyle name="_KT (2)_5_Book1_Copy of Cau tao gia Mau" xfId="248" xr:uid="{23DBF5BC-4E2A-4C0B-A3CB-0D2D2D1ED61D}"/>
    <cellStyle name="_KT (2)_5_Book1_CTC - BoQ Agrex Building" xfId="249" xr:uid="{64967890-B30C-4E38-A44D-0DA962F34C3A}"/>
    <cellStyle name="_KT (2)_5_Book2" xfId="250" xr:uid="{EFCA63EB-C03A-4A45-BB50-A39ADDF693FA}"/>
    <cellStyle name="_KT (2)_5_BOQ-Thuan thao (Tai 07May)" xfId="251" xr:uid="{2235AC45-FC75-44B9-BD45-423C03AB9C0F}"/>
    <cellStyle name="_KT (2)_5_Cau tao gia Arico T2-2009" xfId="252" xr:uid="{9C860641-60A8-43BF-AE4B-8FC5192B76A1}"/>
    <cellStyle name="_KT (2)_5_Cau tao gia phan Tho (ham + Than) 15-9-08" xfId="253" xr:uid="{8762D7CD-AFBA-4B9F-8D01-29C61EA8C63B}"/>
    <cellStyle name="_KT (2)_5_CAU TAO GIA THE OCEAN VILLAS DANANG" xfId="254" xr:uid="{51F50CEA-51D5-4489-A6C4-EC39B0FFB694}"/>
    <cellStyle name="_KT (2)_5_cong tac chuan bi Nhatrang Plaza" xfId="255" xr:uid="{C3FCED70-94D1-470E-B128-F7FD5A2D50B5}"/>
    <cellStyle name="_KT (2)_5_Cong tac chuan bi-Thanh" xfId="256" xr:uid="{C708417C-15CF-4F4C-A49F-1B63CC8A3BDC}"/>
    <cellStyle name="_KT (2)_5_Copy of Cau tao gia Mau" xfId="257" xr:uid="{AC5E783E-8E48-41D3-AA8E-728E779E021A}"/>
    <cellStyle name="_KT (2)_5_CROWN WELL 冠威報價單20071015" xfId="258" xr:uid="{4CF967ED-9AE5-4A54-9FAB-260054C26069}"/>
    <cellStyle name="_KT (2)_5_CTC - BoQ Agrex Building" xfId="259" xr:uid="{8EBC1008-C5E6-454D-BA02-C9B039D92845}"/>
    <cellStyle name="_KT (2)_5_DT kho 50x72 ,52x45m -11-5" xfId="260" xr:uid="{AC968136-2AAF-4F03-BAED-A7AC3C9F08EE}"/>
    <cellStyle name="_KT (2)_5_DT kho 50x72 ,52x45m ASIA NUTRITION" xfId="261" xr:uid="{AA20082E-93C7-45E0-8EC5-7376DCFEA8F5}"/>
    <cellStyle name="_KT (2)_5_DTCDT MR.2N110.HOCMON.TDTOAN.CCUNG" xfId="262" xr:uid="{DD181D6E-13A2-4907-91F7-6889D94F0C1C}"/>
    <cellStyle name="_KT (2)_5_DTkho 52x70m ASIA NUTRITION" xfId="263" xr:uid="{112514C6-053B-4219-B678-74AFED122E94}"/>
    <cellStyle name="_KT (2)_5_DTkho 52x70m ASIA NUTRITION-change-tuong bt6m" xfId="264" xr:uid="{4316A6EB-4279-40CA-B707-53C386C1F7A5}"/>
    <cellStyle name="_KT (2)_5_DTkho 52x70m ASIA NUTRITION-seno betong" xfId="265" xr:uid="{E87B3B6E-0445-4823-8F86-EE7CCD0D1A6A}"/>
    <cellStyle name="_KT (2)_5_Lora-tungchau" xfId="266" xr:uid="{537E47BB-2DE6-4BCB-AE14-E72DAF067790}"/>
    <cellStyle name="_KT (2)_5_PGIA-phieu tham tra Kho bac" xfId="267" xr:uid="{13AB43B9-6AFD-479C-8EAA-9F6F3A1E60B5}"/>
    <cellStyle name="_KT (2)_5_PT02-02" xfId="268" xr:uid="{55D731A0-439F-48A7-BE06-67129C6D3960}"/>
    <cellStyle name="_KT (2)_5_PT02-02_Book1" xfId="269" xr:uid="{A0AFC2AE-E1C7-4573-9360-914855FD76F6}"/>
    <cellStyle name="_KT (2)_5_PT02-03" xfId="270" xr:uid="{4356F436-155F-4FBF-9B33-DFA64F0AA246}"/>
    <cellStyle name="_KT (2)_5_PT02-03_Book1" xfId="271" xr:uid="{DDDCD6D7-8A37-4C99-BB31-E78116063D91}"/>
    <cellStyle name="_KT (2)_5_Qt-HT3PQ1(CauKho)" xfId="272" xr:uid="{A1B47E05-4A44-47B0-87A9-869E6D98B12E}"/>
    <cellStyle name="_KT (2)_Book1" xfId="273" xr:uid="{BCA3E69B-3502-46E4-BF61-F9F61E62C70D}"/>
    <cellStyle name="_KT (2)_Book1_1" xfId="274" xr:uid="{71B79385-CB9B-4279-97F6-5490313B00C4}"/>
    <cellStyle name="_KT (2)_Book1_BC-QT-WB-dthao" xfId="275" xr:uid="{72D50EA8-4373-414E-856A-46503E68F767}"/>
    <cellStyle name="_KT (2)_Book1_BOQ-Thuan thao (Tai 07May)" xfId="276" xr:uid="{9F7E635D-D817-477A-BFB6-87AA17716DF7}"/>
    <cellStyle name="_KT (2)_Book1_CAU TAO GIA THE OCEAN VILLAS DANANG" xfId="277" xr:uid="{738FB202-CDB3-46CF-8334-8672C51DBBE7}"/>
    <cellStyle name="_KT (2)_Book2" xfId="278" xr:uid="{4B85BADD-CA8F-4E24-8DE1-00A7CF45E6D3}"/>
    <cellStyle name="_KT (2)_BOQ-Thuan thao (Tai 07May)" xfId="279" xr:uid="{E54071D1-B611-4544-9C3B-605947C3D62B}"/>
    <cellStyle name="_KT (2)_Cau tao gia Arico T2-2009" xfId="280" xr:uid="{B0AB726F-DFEB-44B1-B979-2E6455EB3F23}"/>
    <cellStyle name="_KT (2)_Cau tao gia phan Tho (ham + Than) 15-9-08" xfId="281" xr:uid="{87498894-D9F3-43DB-B2A2-31160649B593}"/>
    <cellStyle name="_KT (2)_CAU TAO GIA THE OCEAN VILLAS DANANG" xfId="282" xr:uid="{529A8C35-5180-4FDC-BD7C-E407455308B2}"/>
    <cellStyle name="_KT (2)_cong tac chuan bi Nhatrang Plaza" xfId="283" xr:uid="{26634125-33D3-46BA-8237-6121F2CDC521}"/>
    <cellStyle name="_KT (2)_Cong tac chuan bi-Thanh" xfId="284" xr:uid="{2BB12B9C-6899-4C7D-88DD-29855FC672D4}"/>
    <cellStyle name="_KT (2)_Copy of Cau tao gia Mau" xfId="285" xr:uid="{55B99C38-13B4-4CE6-9743-66C2B46DDCB2}"/>
    <cellStyle name="_KT (2)_CTC - BoQ Agrex Building" xfId="286" xr:uid="{73456E58-B6F1-429D-BE8C-1F11A5404564}"/>
    <cellStyle name="_KT (2)_Lora-tungchau" xfId="287" xr:uid="{6D6D9433-352C-479D-B1FF-86BA6798E166}"/>
    <cellStyle name="_KT (2)_PERSONAL" xfId="288" xr:uid="{0FF4DA6C-82C8-4922-99EE-601CE382F026}"/>
    <cellStyle name="_KT (2)_PERSONAL_Book1" xfId="289" xr:uid="{D28E31F3-FC85-442F-8AB2-19A6FB98341A}"/>
    <cellStyle name="_KT (2)_PERSONAL_BOQ-Thuan thao (Tai 07May)" xfId="290" xr:uid="{7A06B17D-2B7D-43E5-A2CF-0566CDCB9DA4}"/>
    <cellStyle name="_KT (2)_PERSONAL_CAU TAO GIA THE OCEAN VILLAS DANANG" xfId="291" xr:uid="{F71137CF-86CD-4F28-8B48-4A9AA1B5E0C1}"/>
    <cellStyle name="_KT (2)_PERSONAL_Copy of Cau tao gia Mau" xfId="292" xr:uid="{B2CE6CF0-F3DF-4C8C-9D48-A6672740987C}"/>
    <cellStyle name="_KT (2)_PERSONAL_HTQ.8 GD1" xfId="293" xr:uid="{322E8903-A932-48B1-BB86-86BD437FBB5C}"/>
    <cellStyle name="_KT (2)_PERSONAL_Tong hop KHCB 2001" xfId="294" xr:uid="{036BC930-BA40-4419-A7DF-CD42F1ECF10E}"/>
    <cellStyle name="_KT (2)_Qt-HT3PQ1(CauKho)" xfId="295" xr:uid="{B9A0E4E6-FD18-4D64-8BFE-ACDFE2197645}"/>
    <cellStyle name="_KT (2)_TG-TH" xfId="296" xr:uid="{062E75DB-6BD2-4EEA-B71B-68BC0A244FEE}"/>
    <cellStyle name="_KT_TG" xfId="297" xr:uid="{BAB61CD4-24E9-4503-A608-FE82EA278DFC}"/>
    <cellStyle name="_KT_TG_1" xfId="298" xr:uid="{CE909FAE-6D0B-42FC-B78B-08ED91AA08EA}"/>
    <cellStyle name="_KT_TG_1_BAO CAO KLCT PT2000" xfId="299" xr:uid="{6B714363-D408-446A-9DFD-5D1173EE0D06}"/>
    <cellStyle name="_KT_TG_1_BAO CAO PT2000" xfId="300" xr:uid="{2C53B8F6-0313-4D0B-B5A8-910F48D34894}"/>
    <cellStyle name="_KT_TG_1_BAO CAO PT2000_Book1" xfId="301" xr:uid="{FC833B48-FCB9-4163-93A5-866C7F02C2A9}"/>
    <cellStyle name="_KT_TG_1_Bao cao XDCB 2001 - T11 KH dieu chinh 20-11-THAI" xfId="302" xr:uid="{0E1A77C4-DC15-47B4-A81B-186F2049ED65}"/>
    <cellStyle name="_KT_TG_1_Book1" xfId="303" xr:uid="{468DF194-9C19-491A-ADFA-F42E73C17650}"/>
    <cellStyle name="_KT_TG_1_Book1_1" xfId="304" xr:uid="{311FBE89-BE06-4226-952C-318947CAB64F}"/>
    <cellStyle name="_KT_TG_1_Book1_1_Cong tac chuan bi Cao su" xfId="305" xr:uid="{36B4D286-1697-400F-A11E-5EFAA6314421}"/>
    <cellStyle name="_KT_TG_1_Book1_1_CTC - BoQ Agrex Building" xfId="306" xr:uid="{CDB1C259-5C0D-4E79-A236-7042B661C822}"/>
    <cellStyle name="_KT_TG_1_Book1_2" xfId="307" xr:uid="{28E63D19-770A-474C-B571-33194558085E}"/>
    <cellStyle name="_KT_TG_1_Book1_2_Cong tac chuan bi Cao su" xfId="308" xr:uid="{A939D9F4-4451-4616-9985-98DBCD8CAD49}"/>
    <cellStyle name="_KT_TG_1_Book1_3" xfId="309" xr:uid="{4FE4704C-2921-4DA2-9427-D85848CA97A2}"/>
    <cellStyle name="_KT_TG_1_Book1_4" xfId="310" xr:uid="{AA027614-905E-4BB8-B381-944E32A83D87}"/>
    <cellStyle name="_KT_TG_1_Book1_BC-QT-WB-dthao" xfId="311" xr:uid="{7A260C86-09C4-4B8F-85C4-6F9DFC843E4D}"/>
    <cellStyle name="_KT_TG_1_Book1_Book2" xfId="312" xr:uid="{C57AB558-7C5E-441D-B8CE-6D38E076C195}"/>
    <cellStyle name="_KT_TG_1_Book1_BOQ-Thuan thao (Tai 07May)" xfId="313" xr:uid="{C75D051E-E012-464F-8F66-C5109AD2840C}"/>
    <cellStyle name="_KT_TG_1_Book1_Cau tao gia Arico T2-2009" xfId="314" xr:uid="{347D2332-1890-4948-9713-67D101E37598}"/>
    <cellStyle name="_KT_TG_1_Book1_Cau tao gia phan Tho (ham + Than) 15-9-08" xfId="315" xr:uid="{C729E410-672E-4928-9BB7-21AF90CF1B42}"/>
    <cellStyle name="_KT_TG_1_Book1_CAU TAO GIA THE OCEAN VILLAS DANANG" xfId="316" xr:uid="{CC228953-C5CB-4798-9678-0137B8B92F42}"/>
    <cellStyle name="_KT_TG_1_Book1_cong tac chuan bi Nhatrang Plaza" xfId="317" xr:uid="{D6A5240A-DAC5-4C53-90DD-4399DF673DDE}"/>
    <cellStyle name="_KT_TG_1_Book1_Cong tac chuan bi-Thanh" xfId="318" xr:uid="{CF2A3FDF-0D35-4CF4-BCA8-E44ECFAB34F8}"/>
    <cellStyle name="_KT_TG_1_Book1_Copy of Cau tao gia Mau" xfId="319" xr:uid="{38139669-8511-45C5-9601-5944DCBD2AAE}"/>
    <cellStyle name="_KT_TG_1_Book1_CTC - BoQ Agrex Building" xfId="320" xr:uid="{BF7BD1AB-1513-464C-B965-04AE788C7ADF}"/>
    <cellStyle name="_KT_TG_1_Book2" xfId="321" xr:uid="{73E4494E-EC14-45B0-B473-AE6416D0D6DC}"/>
    <cellStyle name="_KT_TG_1_BOQ-Thuan thao (Tai 07May)" xfId="322" xr:uid="{182FE073-AE08-4A58-A434-FEAFD9152392}"/>
    <cellStyle name="_KT_TG_1_Cau tao gia Arico T2-2009" xfId="323" xr:uid="{F56FF0AB-8684-4234-AF1F-8846BE75C9C3}"/>
    <cellStyle name="_KT_TG_1_Cau tao gia phan Tho (ham + Than) 15-9-08" xfId="324" xr:uid="{EF920843-F61C-4BCA-B574-17F2ABAD55AF}"/>
    <cellStyle name="_KT_TG_1_CAU TAO GIA THE OCEAN VILLAS DANANG" xfId="325" xr:uid="{8B09DF72-7B75-40D7-9C5F-633C83D372F6}"/>
    <cellStyle name="_KT_TG_1_cong tac chuan bi Nhatrang Plaza" xfId="326" xr:uid="{91ADB55B-1D77-4DC1-B34B-E412CDA95FBA}"/>
    <cellStyle name="_KT_TG_1_Cong tac chuan bi-Thanh" xfId="327" xr:uid="{73240462-602E-42A7-9AA8-732F053E0351}"/>
    <cellStyle name="_KT_TG_1_Copy of Cau tao gia Mau" xfId="328" xr:uid="{9ECC4961-C546-4152-ADA1-92F61D9105BD}"/>
    <cellStyle name="_KT_TG_1_CROWN WELL 冠威報價單20071015" xfId="329" xr:uid="{B91681D0-0369-47B8-983B-43B5E3DA25FA}"/>
    <cellStyle name="_KT_TG_1_CTC - BoQ Agrex Building" xfId="330" xr:uid="{7C0B29FC-E0F4-4138-A334-CFD37FE4B3DD}"/>
    <cellStyle name="_KT_TG_1_DT kho 50x72 ,52x45m -11-5" xfId="331" xr:uid="{DD87A23F-7F44-4E28-A965-31A62FE266A1}"/>
    <cellStyle name="_KT_TG_1_DT kho 50x72 ,52x45m ASIA NUTRITION" xfId="332" xr:uid="{B1A822BE-0CFA-44EB-94D8-FA10D3B4BB9A}"/>
    <cellStyle name="_KT_TG_1_DTCDT MR.2N110.HOCMON.TDTOAN.CCUNG" xfId="333" xr:uid="{061720EC-090A-47F1-B920-645D8B9924A0}"/>
    <cellStyle name="_KT_TG_1_DTkho 52x70m ASIA NUTRITION" xfId="334" xr:uid="{FBC98017-1B2E-45FD-9FBF-6DA14A60A1F6}"/>
    <cellStyle name="_KT_TG_1_DTkho 52x70m ASIA NUTRITION-change-tuong bt6m" xfId="335" xr:uid="{1AF09C60-9613-425D-BCCC-9EEFC01B7732}"/>
    <cellStyle name="_KT_TG_1_DTkho 52x70m ASIA NUTRITION-seno betong" xfId="336" xr:uid="{33DC17F3-3381-47D0-869F-D90A12EBB359}"/>
    <cellStyle name="_KT_TG_1_Lora-tungchau" xfId="337" xr:uid="{67E411C9-AD2C-49F7-B13A-012877CBB7DB}"/>
    <cellStyle name="_KT_TG_1_PGIA-phieu tham tra Kho bac" xfId="338" xr:uid="{9361008F-D268-427C-92C6-8776CC42D417}"/>
    <cellStyle name="_KT_TG_1_PT02-02" xfId="339" xr:uid="{1490C4B9-A5AF-471E-8971-4CB7A3CB4488}"/>
    <cellStyle name="_KT_TG_1_PT02-02_Book1" xfId="340" xr:uid="{860F601E-4EE2-487A-A4C5-278572386EE2}"/>
    <cellStyle name="_KT_TG_1_PT02-03" xfId="341" xr:uid="{A3B1B4FE-0895-436F-91EF-D1A62E2FBEA8}"/>
    <cellStyle name="_KT_TG_1_PT02-03_Book1" xfId="342" xr:uid="{44BA2268-2EDC-482F-B42D-F33269BC06EA}"/>
    <cellStyle name="_KT_TG_1_Qt-HT3PQ1(CauKho)" xfId="343" xr:uid="{505A41A4-4E8C-4273-AEF8-059B961473F6}"/>
    <cellStyle name="_KT_TG_2" xfId="344" xr:uid="{E317330B-2167-442A-AC1C-52FA001E7B53}"/>
    <cellStyle name="_KT_TG_2_BAO CAO KLCT PT2000" xfId="345" xr:uid="{0FD6313D-C8DA-454D-9E2D-B4A482DC8D8F}"/>
    <cellStyle name="_KT_TG_2_BAO CAO PT2000" xfId="346" xr:uid="{03C960CD-CFBE-4EA9-8D37-3B4DF2371B62}"/>
    <cellStyle name="_KT_TG_2_BAO CAO PT2000_Book1" xfId="347" xr:uid="{0728F613-6C37-4322-83FA-DFE3D56FC833}"/>
    <cellStyle name="_KT_TG_2_Bao cao XDCB 2001 - T11 KH dieu chinh 20-11-THAI" xfId="348" xr:uid="{82F85CD6-109E-4F83-A35B-6C01771A28C6}"/>
    <cellStyle name="_KT_TG_2_Book1" xfId="349" xr:uid="{901000A9-DDF3-4B0C-81F6-9AFE760860D8}"/>
    <cellStyle name="_KT_TG_2_Book1_1" xfId="350" xr:uid="{4379C2CF-013F-4DB1-BE23-3C2B3E71F6D6}"/>
    <cellStyle name="_KT_TG_2_Book1_1_Cong tac chuan bi Cao su" xfId="351" xr:uid="{5F9EE479-2B76-433A-A12D-6E15DDD6EB16}"/>
    <cellStyle name="_KT_TG_2_Book1_1_CTC - BoQ Agrex Building" xfId="352" xr:uid="{60FD313E-33D5-4308-B030-5A325152C527}"/>
    <cellStyle name="_KT_TG_2_Book1_2" xfId="353" xr:uid="{300F4F84-DBB5-449D-96F9-35B3DA111983}"/>
    <cellStyle name="_KT_TG_2_Book1_2_Cong tac chuan bi Cao su" xfId="354" xr:uid="{B2B73428-7FDF-4993-9F39-DBDF8DE74875}"/>
    <cellStyle name="_KT_TG_2_Book1_3" xfId="355" xr:uid="{6898D922-F02F-4DEF-A9C2-BBDBBACD09A6}"/>
    <cellStyle name="_KT_TG_2_Book1_4" xfId="356" xr:uid="{D361B19F-D69E-496F-94E0-62E14EE72D86}"/>
    <cellStyle name="_KT_TG_2_Book1_Book2" xfId="357" xr:uid="{C7D560F5-9E9C-49B1-BBDF-952AAE8833E2}"/>
    <cellStyle name="_KT_TG_2_Book1_BOQ-Thuan thao (Tai 07May)" xfId="358" xr:uid="{5EF86159-4DCB-47C1-8E35-65640A6008EE}"/>
    <cellStyle name="_KT_TG_2_Book1_Cau tao gia Arico T2-2009" xfId="359" xr:uid="{E0C28A43-4AC9-40BB-8938-306EEE52036A}"/>
    <cellStyle name="_KT_TG_2_Book1_Cau tao gia phan Tho (ham + Than) 15-9-08" xfId="360" xr:uid="{A0748AAE-D6CB-4E93-970F-B762A9D9E712}"/>
    <cellStyle name="_KT_TG_2_Book1_CAU TAO GIA THE OCEAN VILLAS DANANG" xfId="361" xr:uid="{8E1CEFE5-0F62-4251-8033-093D5711E529}"/>
    <cellStyle name="_KT_TG_2_Book1_cong tac chuan bi Nhatrang Plaza" xfId="362" xr:uid="{D3CE628D-7F90-42F1-8C48-119D011982AF}"/>
    <cellStyle name="_KT_TG_2_Book1_Cong tac chuan bi-Thanh" xfId="363" xr:uid="{09ADC636-8CDC-44CD-A596-F5D1B9BA7239}"/>
    <cellStyle name="_KT_TG_2_Book1_Copy of Cau tao gia Mau" xfId="364" xr:uid="{94CCA681-657A-48F9-A7D1-36D5BBCDE2C9}"/>
    <cellStyle name="_KT_TG_2_Book1_CTC - BoQ Agrex Building" xfId="365" xr:uid="{CD2A203A-D1C7-4AC0-9EDC-D3A0BED6237C}"/>
    <cellStyle name="_KT_TG_2_Book2" xfId="366" xr:uid="{48368FF8-5219-4DAC-8065-414F963378BB}"/>
    <cellStyle name="_KT_TG_2_BOQ-Thuan thao (Tai 07May)" xfId="367" xr:uid="{7E42FB81-6048-40FE-968C-528A25E824F1}"/>
    <cellStyle name="_KT_TG_2_Cau tao gia Arico T2-2009" xfId="368" xr:uid="{1BDDCDF6-91D3-4AC0-B4D7-87B4B8BEA5B7}"/>
    <cellStyle name="_KT_TG_2_Cau tao gia phan Tho (ham + Than) 15-9-08" xfId="369" xr:uid="{3CA94290-7FC7-4572-B264-A5B92A4831A0}"/>
    <cellStyle name="_KT_TG_2_CAU TAO GIA THE OCEAN VILLAS DANANG" xfId="370" xr:uid="{43982450-6FB7-4227-8DDB-9FF2AF06E31C}"/>
    <cellStyle name="_KT_TG_2_cong tac chuan bi Nhatrang Plaza" xfId="371" xr:uid="{564F0CA6-3DC7-4D01-B5F8-ACD011397628}"/>
    <cellStyle name="_KT_TG_2_Cong tac chuan bi-Thanh" xfId="372" xr:uid="{2B3E039E-47C7-4894-BE07-29D141A86FC1}"/>
    <cellStyle name="_KT_TG_2_Copy of Cau tao gia Mau" xfId="373" xr:uid="{B0F4787B-DD7F-4244-8245-1407F3D8869A}"/>
    <cellStyle name="_KT_TG_2_CROWN WELL 冠威報價單20071015" xfId="374" xr:uid="{0FC78D02-FFB7-46F5-A2B1-20568E25BA72}"/>
    <cellStyle name="_KT_TG_2_CTC - BoQ Agrex Building" xfId="375" xr:uid="{99EE2F34-8671-450D-8B4C-7FACD53C76D7}"/>
    <cellStyle name="_KT_TG_2_DT kho 50x72 ,52x45m -11-5" xfId="376" xr:uid="{F96FE4CF-15E8-4EBB-93A2-0EAC68CE0A6F}"/>
    <cellStyle name="_KT_TG_2_DT kho 50x72 ,52x45m ASIA NUTRITION" xfId="377" xr:uid="{7FA1F47D-E60B-4ACE-B7BA-D0BE7E623243}"/>
    <cellStyle name="_KT_TG_2_DTCDT MR.2N110.HOCMON.TDTOAN.CCUNG" xfId="378" xr:uid="{164D3772-194E-4A0B-83F7-16E32B6436B2}"/>
    <cellStyle name="_KT_TG_2_DTkho 52x70m ASIA NUTRITION" xfId="379" xr:uid="{ED67781C-3E5B-4E5F-B956-968C9B8CBC48}"/>
    <cellStyle name="_KT_TG_2_DTkho 52x70m ASIA NUTRITION-change-tuong bt6m" xfId="380" xr:uid="{30530CBD-A8ED-4F8B-9C39-11784E6CF7CA}"/>
    <cellStyle name="_KT_TG_2_DTkho 52x70m ASIA NUTRITION-seno betong" xfId="381" xr:uid="{8B3EF975-01AB-48A9-8C3B-14D4B7638465}"/>
    <cellStyle name="_KT_TG_2_Lora-tungchau" xfId="382" xr:uid="{102CBDBC-7449-48E4-9344-734233C0F0BE}"/>
    <cellStyle name="_KT_TG_2_PGIA-phieu tham tra Kho bac" xfId="383" xr:uid="{3C732C62-C1AC-458A-8FBB-6CD4BD4651B3}"/>
    <cellStyle name="_KT_TG_2_PT02-02" xfId="384" xr:uid="{5C331C2A-1680-43C0-BB03-C99E91882C23}"/>
    <cellStyle name="_KT_TG_2_PT02-02_Book1" xfId="385" xr:uid="{4098FBB6-196C-4695-9BD8-447D9AAD73B1}"/>
    <cellStyle name="_KT_TG_2_PT02-03" xfId="386" xr:uid="{9D6A9F65-E779-4864-8FAD-73858E3F39EA}"/>
    <cellStyle name="_KT_TG_2_PT02-03_Book1" xfId="387" xr:uid="{60502815-6BFD-47F0-99DC-47D5CF72ADE6}"/>
    <cellStyle name="_KT_TG_2_Qt-HT3PQ1(CauKho)" xfId="388" xr:uid="{DDA1A83E-0814-4395-8D3E-BE0C6C0DADC8}"/>
    <cellStyle name="_KT_TG_3" xfId="389" xr:uid="{48F8F678-074A-4647-853C-06CD418E2A0C}"/>
    <cellStyle name="_KT_TG_4" xfId="390" xr:uid="{52584872-5A31-4795-8BB9-A047E2B2F643}"/>
    <cellStyle name="_KT_TG_4_Lora-tungchau" xfId="391" xr:uid="{8412F94E-A353-420C-86B6-414F9B4A6514}"/>
    <cellStyle name="_KT_TG_4_Qt-HT3PQ1(CauKho)" xfId="392" xr:uid="{489EC5C6-EB52-4CFC-8B59-0F7DFBF001CC}"/>
    <cellStyle name="_Lora-tungchau" xfId="394" xr:uid="{2482F390-2BE9-4E1E-B267-A63B110B905E}"/>
    <cellStyle name="_OFG-mockup1_1_Jan CPA2_CD UM 11.3 Summary 0.6 OFA 5" xfId="395" xr:uid="{22349621-6E63-4E67-86B6-50308A2F08C6}"/>
    <cellStyle name="_PERSONAL" xfId="396" xr:uid="{55A9E70A-0064-44BE-A272-832CF63A8986}"/>
    <cellStyle name="_PERSONAL_Book1" xfId="397" xr:uid="{3E2058BE-E661-432F-A359-87018A132FDA}"/>
    <cellStyle name="_PERSONAL_BOQ-Thuan thao (Tai 07May)" xfId="398" xr:uid="{00D1EDFA-3E9E-441D-AFF6-4CDD22A842EB}"/>
    <cellStyle name="_PERSONAL_CAU TAO GIA THE OCEAN VILLAS DANANG" xfId="399" xr:uid="{C0289990-9C79-42B6-83E6-E86142EEE547}"/>
    <cellStyle name="_PERSONAL_Copy of Cau tao gia Mau" xfId="400" xr:uid="{7FC9A64D-A610-45B9-8070-085349302FD8}"/>
    <cellStyle name="_PERSONAL_HTQ.8 GD1" xfId="401" xr:uid="{1551B2BF-45C2-4F65-9F0E-85B41891B2F6}"/>
    <cellStyle name="_PERSONAL_Tong hop KHCB 2001" xfId="402" xr:uid="{7923CFE3-62FC-483A-9086-48CB6E450E16}"/>
    <cellStyle name="_Qt-HT3PQ1(CauKho)" xfId="403" xr:uid="{D3916F7C-25B7-40F1-9A8A-10A9CE5C6FB3}"/>
    <cellStyle name="_Sheet2" xfId="404" xr:uid="{4ED5E19E-6A07-4DA8-8405-47072C54A1AF}"/>
    <cellStyle name="_TG-TH" xfId="405" xr:uid="{C766CFC0-0A9C-4C66-94F1-4A76BDDE76F6}"/>
    <cellStyle name="_TG-TH_1" xfId="406" xr:uid="{7D24112A-9959-499C-BA3C-DA8DAF579310}"/>
    <cellStyle name="_TG-TH_1_BAO CAO KLCT PT2000" xfId="407" xr:uid="{5B890BBB-78FD-4B54-A862-2017B7599D61}"/>
    <cellStyle name="_TG-TH_1_BAO CAO PT2000" xfId="408" xr:uid="{CAF15B63-0FE9-4415-BD08-E0FF5AF0180A}"/>
    <cellStyle name="_TG-TH_1_BAO CAO PT2000_Book1" xfId="409" xr:uid="{084ACFE3-1899-4B0A-AE04-2A4D835B6F3B}"/>
    <cellStyle name="_TG-TH_1_Bao cao XDCB 2001 - T11 KH dieu chinh 20-11-THAI" xfId="410" xr:uid="{BA3FAFEF-9119-46EB-A605-F6A38D16B1D5}"/>
    <cellStyle name="_TG-TH_1_Book1" xfId="411" xr:uid="{22648871-B2F8-442A-A663-47BD78FCC12E}"/>
    <cellStyle name="_TG-TH_1_Book1_1" xfId="412" xr:uid="{0D5D188C-28E2-4FE0-BB82-D84988395462}"/>
    <cellStyle name="_TG-TH_1_Book1_1_Cong tac chuan bi Cao su" xfId="413" xr:uid="{32447641-241A-403C-B360-A6DAE4554866}"/>
    <cellStyle name="_TG-TH_1_Book1_1_CTC - BoQ Agrex Building" xfId="414" xr:uid="{887A4CE9-8C28-4C4D-9167-6A769437D5D4}"/>
    <cellStyle name="_TG-TH_1_Book1_2" xfId="415" xr:uid="{2706D9EC-8F63-4BCE-B398-76338F517940}"/>
    <cellStyle name="_TG-TH_1_Book1_2_Cong tac chuan bi Cao su" xfId="416" xr:uid="{0A4077CB-63C6-4A01-869D-3E106AB3685B}"/>
    <cellStyle name="_TG-TH_1_Book1_3" xfId="417" xr:uid="{627A5455-6619-4868-8909-DC405AAC885A}"/>
    <cellStyle name="_TG-TH_1_Book1_4" xfId="418" xr:uid="{34C8C835-EFC3-4508-816C-EB62946C913C}"/>
    <cellStyle name="_TG-TH_1_Book1_BC-QT-WB-dthao" xfId="419" xr:uid="{0EDB774B-9F60-4BD2-814A-C2FD1F58DB88}"/>
    <cellStyle name="_TG-TH_1_Book1_Book2" xfId="420" xr:uid="{4E5E7A1B-A082-4614-84A6-890633CAB221}"/>
    <cellStyle name="_TG-TH_1_Book1_BOQ-Thuan thao (Tai 07May)" xfId="421" xr:uid="{4681E4BF-0C01-4CA5-A79A-586625EEF27B}"/>
    <cellStyle name="_TG-TH_1_Book1_Cau tao gia Arico T2-2009" xfId="422" xr:uid="{D849DB3E-C9BB-45C7-9B2D-EC20ED06805B}"/>
    <cellStyle name="_TG-TH_1_Book1_Cau tao gia phan Tho (ham + Than) 15-9-08" xfId="423" xr:uid="{C50EFD1D-CCFA-45B2-9CD3-082C49770431}"/>
    <cellStyle name="_TG-TH_1_Book1_CAU TAO GIA THE OCEAN VILLAS DANANG" xfId="424" xr:uid="{06448A20-BFF0-4F13-B94B-0E95D4E97345}"/>
    <cellStyle name="_TG-TH_1_Book1_cong tac chuan bi Nhatrang Plaza" xfId="425" xr:uid="{880B4479-D574-47FF-BE50-270B5AB7A113}"/>
    <cellStyle name="_TG-TH_1_Book1_Cong tac chuan bi-Thanh" xfId="426" xr:uid="{66773EF1-6511-4A7F-B734-3178E3A5FBAC}"/>
    <cellStyle name="_TG-TH_1_Book1_Copy of Cau tao gia Mau" xfId="427" xr:uid="{1FA72290-EC9F-4A58-A5A5-900A0C686137}"/>
    <cellStyle name="_TG-TH_1_Book1_CTC - BoQ Agrex Building" xfId="428" xr:uid="{112F9A02-00D0-4DF8-A7E9-5FB8F455DE9F}"/>
    <cellStyle name="_TG-TH_1_Book2" xfId="429" xr:uid="{DE7F288E-F927-4AE1-895A-2A8A890B73B5}"/>
    <cellStyle name="_TG-TH_1_BOQ-Thuan thao (Tai 07May)" xfId="430" xr:uid="{30CA3CD8-6EAD-4934-956F-F4EB20667661}"/>
    <cellStyle name="_TG-TH_1_Cau tao gia Arico T2-2009" xfId="431" xr:uid="{F77CD964-6A4D-49B7-A729-F650BAC5F740}"/>
    <cellStyle name="_TG-TH_1_Cau tao gia phan Tho (ham + Than) 15-9-08" xfId="432" xr:uid="{6256AF0A-C809-40BA-8036-D040F3951647}"/>
    <cellStyle name="_TG-TH_1_CAU TAO GIA THE OCEAN VILLAS DANANG" xfId="433" xr:uid="{F58C1DC3-7088-4EB7-9264-0BD2CBC029B6}"/>
    <cellStyle name="_TG-TH_1_cong tac chuan bi Nhatrang Plaza" xfId="434" xr:uid="{D303EC57-6B09-41A1-B917-A45C5FD76072}"/>
    <cellStyle name="_TG-TH_1_Cong tac chuan bi-Thanh" xfId="435" xr:uid="{78EAC130-2B92-4B45-997E-31E2886B785B}"/>
    <cellStyle name="_TG-TH_1_Copy of Cau tao gia Mau" xfId="436" xr:uid="{D5B09A45-43C0-4C31-A916-BBC13ABE5F47}"/>
    <cellStyle name="_TG-TH_1_CROWN WELL 冠威報價單20071015" xfId="437" xr:uid="{8CD5AB85-10B2-4687-B5D1-D1A910A71E58}"/>
    <cellStyle name="_TG-TH_1_CTC - BoQ Agrex Building" xfId="438" xr:uid="{B70A8905-D115-4B4A-957F-471493CEDB07}"/>
    <cellStyle name="_TG-TH_1_DT kho 50x72 ,52x45m -11-5" xfId="439" xr:uid="{1163FE60-16D1-4883-A9A9-E520E4F36FCC}"/>
    <cellStyle name="_TG-TH_1_DT kho 50x72 ,52x45m ASIA NUTRITION" xfId="440" xr:uid="{5129AA98-E979-4307-8F56-3496F5C39438}"/>
    <cellStyle name="_TG-TH_1_DTCDT MR.2N110.HOCMON.TDTOAN.CCUNG" xfId="441" xr:uid="{FE9C1E8E-8A42-4667-8D99-824035F7273A}"/>
    <cellStyle name="_TG-TH_1_DTkho 52x70m ASIA NUTRITION" xfId="442" xr:uid="{E8A62584-D975-4D18-9A82-E85F80313930}"/>
    <cellStyle name="_TG-TH_1_DTkho 52x70m ASIA NUTRITION-change-tuong bt6m" xfId="443" xr:uid="{AFC5D097-9C67-45C2-BC7F-A06C177A6B57}"/>
    <cellStyle name="_TG-TH_1_DTkho 52x70m ASIA NUTRITION-seno betong" xfId="444" xr:uid="{B0531467-40C7-47A1-AB83-A89D778D569D}"/>
    <cellStyle name="_TG-TH_1_Lora-tungchau" xfId="445" xr:uid="{8840D8CE-3A81-4D1B-88A8-823378490951}"/>
    <cellStyle name="_TG-TH_1_PGIA-phieu tham tra Kho bac" xfId="446" xr:uid="{3EBC1F2E-82CA-47BE-B801-5050D18A4E23}"/>
    <cellStyle name="_TG-TH_1_PT02-02" xfId="447" xr:uid="{82337A73-D5A3-4AD7-9218-117C9305921F}"/>
    <cellStyle name="_TG-TH_1_PT02-02_Book1" xfId="448" xr:uid="{D5F41B7C-A82C-4A87-8AA9-C030D6BAAEB5}"/>
    <cellStyle name="_TG-TH_1_PT02-03" xfId="449" xr:uid="{B5454944-3C12-461E-988A-B34A539126A4}"/>
    <cellStyle name="_TG-TH_1_PT02-03_Book1" xfId="450" xr:uid="{F13D94D6-E1DA-4BC6-A49B-BB33966AEA9B}"/>
    <cellStyle name="_TG-TH_1_Qt-HT3PQ1(CauKho)" xfId="451" xr:uid="{84E8B804-CBF5-4990-A7B9-5E0EADA7235B}"/>
    <cellStyle name="_TG-TH_2" xfId="452" xr:uid="{6EAEA112-D925-4240-8F24-C81E5829475C}"/>
    <cellStyle name="_TG-TH_2_BAO CAO KLCT PT2000" xfId="453" xr:uid="{A0A3DA04-106A-4CDD-810A-EC0702DDF36C}"/>
    <cellStyle name="_TG-TH_2_BAO CAO PT2000" xfId="454" xr:uid="{E1A27536-5A29-4845-B315-118086F17FB6}"/>
    <cellStyle name="_TG-TH_2_BAO CAO PT2000_Book1" xfId="455" xr:uid="{728921BF-8118-4832-8B66-0BA4C7A62834}"/>
    <cellStyle name="_TG-TH_2_Bao cao XDCB 2001 - T11 KH dieu chinh 20-11-THAI" xfId="456" xr:uid="{D6D0B4CC-68AB-4F67-B877-AD0E5E12C7AA}"/>
    <cellStyle name="_TG-TH_2_Book1" xfId="457" xr:uid="{502D2BD4-3C11-4C00-983A-3C92D592573C}"/>
    <cellStyle name="_TG-TH_2_Book1_1" xfId="458" xr:uid="{2F254F1D-FCB6-4BB0-985B-E26BA45A571D}"/>
    <cellStyle name="_TG-TH_2_Book1_1_Cong tac chuan bi Cao su" xfId="459" xr:uid="{DC8923E7-4834-4956-9560-1E9711580B06}"/>
    <cellStyle name="_TG-TH_2_Book1_1_CTC - BoQ Agrex Building" xfId="460" xr:uid="{2B5E79C3-BF84-491A-B42B-72F8AB428A4D}"/>
    <cellStyle name="_TG-TH_2_Book1_2" xfId="461" xr:uid="{ACF89169-8243-40DF-9165-9AF619052A88}"/>
    <cellStyle name="_TG-TH_2_Book1_2_Cong tac chuan bi Cao su" xfId="462" xr:uid="{545C4A83-59AD-4999-9576-D51A5D6FF39B}"/>
    <cellStyle name="_TG-TH_2_Book1_3" xfId="463" xr:uid="{E560D1CF-9798-40D2-8413-59FFE31312D3}"/>
    <cellStyle name="_TG-TH_2_Book1_4" xfId="464" xr:uid="{CA050312-D7C8-46AA-A931-C3E1EC854C64}"/>
    <cellStyle name="_TG-TH_2_Book1_Book2" xfId="465" xr:uid="{2DB34D33-BBC6-4391-AC8A-F2A1714950AC}"/>
    <cellStyle name="_TG-TH_2_Book1_BOQ-Thuan thao (Tai 07May)" xfId="466" xr:uid="{7894A3ED-3E4C-4AA5-80D4-1778AC6FD4B7}"/>
    <cellStyle name="_TG-TH_2_Book1_Cau tao gia Arico T2-2009" xfId="467" xr:uid="{89A638A9-B6A8-44A4-9D25-21005A1B22A6}"/>
    <cellStyle name="_TG-TH_2_Book1_Cau tao gia phan Tho (ham + Than) 15-9-08" xfId="468" xr:uid="{98371006-5B50-45CB-839E-226CE72FDD5A}"/>
    <cellStyle name="_TG-TH_2_Book1_CAU TAO GIA THE OCEAN VILLAS DANANG" xfId="469" xr:uid="{94E4EC8F-85CC-46EB-9B68-EF3781C1C207}"/>
    <cellStyle name="_TG-TH_2_Book1_cong tac chuan bi Nhatrang Plaza" xfId="470" xr:uid="{DBF2681D-B130-4087-A1B2-BB7997D98551}"/>
    <cellStyle name="_TG-TH_2_Book1_Cong tac chuan bi-Thanh" xfId="471" xr:uid="{C29417FB-9B3A-46B2-8660-CFD2F8B1C28E}"/>
    <cellStyle name="_TG-TH_2_Book1_Copy of Cau tao gia Mau" xfId="472" xr:uid="{6BD07408-D2D0-4944-B788-17BDCBCCE5CF}"/>
    <cellStyle name="_TG-TH_2_Book1_CTC - BoQ Agrex Building" xfId="473" xr:uid="{564DFBC7-9E0C-40A1-831E-75527045E2E0}"/>
    <cellStyle name="_TG-TH_2_Book2" xfId="474" xr:uid="{C332361A-BC72-47AE-A882-A5DF70CED2FE}"/>
    <cellStyle name="_TG-TH_2_BOQ-Thuan thao (Tai 07May)" xfId="475" xr:uid="{7DA4E461-DB94-4582-BE4A-79C8A26CE0F1}"/>
    <cellStyle name="_TG-TH_2_Cau tao gia Arico T2-2009" xfId="476" xr:uid="{752BBBDA-B175-47EA-9569-BBE3AC2FEB38}"/>
    <cellStyle name="_TG-TH_2_Cau tao gia phan Tho (ham + Than) 15-9-08" xfId="477" xr:uid="{6D4E9F27-23F2-4C24-88F7-5737F7F298D8}"/>
    <cellStyle name="_TG-TH_2_CAU TAO GIA THE OCEAN VILLAS DANANG" xfId="478" xr:uid="{088E5733-C8D4-435F-A06E-F26E6698F2CE}"/>
    <cellStyle name="_TG-TH_2_cong tac chuan bi Nhatrang Plaza" xfId="479" xr:uid="{82E37C8C-98B6-429D-8F60-6863596E029D}"/>
    <cellStyle name="_TG-TH_2_Cong tac chuan bi-Thanh" xfId="480" xr:uid="{84C77D97-B658-4E5A-962A-B8C84706616C}"/>
    <cellStyle name="_TG-TH_2_Copy of Cau tao gia Mau" xfId="481" xr:uid="{367AE733-098A-4DE4-A788-9740FF4DD82B}"/>
    <cellStyle name="_TG-TH_2_CROWN WELL 冠威報價單20071015" xfId="482" xr:uid="{A5885547-9ABE-41AE-9BF9-2B2D8ADD5107}"/>
    <cellStyle name="_TG-TH_2_CTC - BoQ Agrex Building" xfId="483" xr:uid="{E64F3CC0-45D2-40B6-A180-18C3D82887D7}"/>
    <cellStyle name="_TG-TH_2_DT kho 50x72 ,52x45m -11-5" xfId="484" xr:uid="{F2461414-8ABD-41AE-8B3F-15DC2E5FC5F4}"/>
    <cellStyle name="_TG-TH_2_DT kho 50x72 ,52x45m ASIA NUTRITION" xfId="485" xr:uid="{E5EA414E-2F43-47FD-AB2E-6E01A99BDA92}"/>
    <cellStyle name="_TG-TH_2_DTCDT MR.2N110.HOCMON.TDTOAN.CCUNG" xfId="486" xr:uid="{A6D34FBC-E148-43FE-AC8F-E452F1CC4E8C}"/>
    <cellStyle name="_TG-TH_2_DTkho 52x70m ASIA NUTRITION" xfId="487" xr:uid="{27A8F528-9DAF-426B-A1F8-0D0A8F2AE4EB}"/>
    <cellStyle name="_TG-TH_2_DTkho 52x70m ASIA NUTRITION-change-tuong bt6m" xfId="488" xr:uid="{33404FDA-BB37-4B6F-B75E-9E7D7115CC18}"/>
    <cellStyle name="_TG-TH_2_DTkho 52x70m ASIA NUTRITION-seno betong" xfId="489" xr:uid="{33218066-A31D-4079-A59B-CB8813228023}"/>
    <cellStyle name="_TG-TH_2_Lora-tungchau" xfId="490" xr:uid="{3D8C133D-F35E-4452-9C66-B64861F95E30}"/>
    <cellStyle name="_TG-TH_2_PGIA-phieu tham tra Kho bac" xfId="491" xr:uid="{C6054FBC-81C5-4B00-883A-079A6C6E7613}"/>
    <cellStyle name="_TG-TH_2_PT02-02" xfId="492" xr:uid="{CD743826-D685-4C55-A317-6399337CFE47}"/>
    <cellStyle name="_TG-TH_2_PT02-02_Book1" xfId="493" xr:uid="{929CFA11-C3AD-4BA6-88F6-4DAF17FE83B8}"/>
    <cellStyle name="_TG-TH_2_PT02-03" xfId="494" xr:uid="{8A8942E9-42F3-4F64-BD83-DEC754591087}"/>
    <cellStyle name="_TG-TH_2_PT02-03_Book1" xfId="495" xr:uid="{575FBCAB-140C-4B34-AADA-BAD369159DFD}"/>
    <cellStyle name="_TG-TH_2_Qt-HT3PQ1(CauKho)" xfId="496" xr:uid="{2A24EC55-78D0-45D9-B612-698D4F94CDE5}"/>
    <cellStyle name="_TG-TH_3" xfId="497" xr:uid="{F0994330-9409-4A3B-9D97-4F1D1F22A080}"/>
    <cellStyle name="_TG-TH_3_Lora-tungchau" xfId="498" xr:uid="{E7E9CBA8-709E-4DC8-8BB0-B04836B66E29}"/>
    <cellStyle name="_TG-TH_3_Qt-HT3PQ1(CauKho)" xfId="499" xr:uid="{10FDA0F0-AE0A-491B-A2F0-6C5BA3F979EC}"/>
    <cellStyle name="_TG-TH_4" xfId="500" xr:uid="{BC476647-0DEC-4DE6-A2E9-F456A9BC39BD}"/>
    <cellStyle name="_Thau phu NCC" xfId="505" xr:uid="{8C3FDA22-9415-4BA2-8F9E-FA8C0F026609}"/>
    <cellStyle name="_THEP BINH TAY" xfId="506" xr:uid="{1773028C-FF0E-4F37-80C8-D0A33576C391}"/>
    <cellStyle name="_Thong tin chung Groz" xfId="507" xr:uid="{C81D9A39-6FBE-4E09-ACA8-B3C74EF30584}"/>
    <cellStyle name="_To Mr Cang -Cotecons Hanh phuc Hosp Dr" xfId="501" xr:uid="{474CD5E1-A72E-44BB-B700-9E14E36D4B64}"/>
    <cellStyle name="_TONG HOP BETONG HAI AU " xfId="502" xr:uid="{9175750D-A24A-424F-8D8E-AF6B2A195F26}"/>
    <cellStyle name="_TUONG RAO" xfId="503" xr:uid="{832D6E60-A7F3-49E1-B679-D7FD1747078F}"/>
    <cellStyle name="_TUONG RAO_1" xfId="504" xr:uid="{5C88A05F-F8E7-4292-AC7F-AF5C799A0A04}"/>
    <cellStyle name="_Villa A,B,C,D-Coteccons" xfId="508" xr:uid="{6509B98F-1140-4A3E-89ED-F841D8EF79AD}"/>
    <cellStyle name="_YC bao gia-Phan cong CV River Garden" xfId="509" xr:uid="{6D53AE66-4DC5-4476-9915-7B25933484C3}"/>
    <cellStyle name="~1" xfId="510" xr:uid="{E95AC573-4BBA-44D8-A523-61A42BC76335}"/>
    <cellStyle name="•W?_Format" xfId="511" xr:uid="{B36DB1CF-D3D8-4D78-9928-D4B6231B0414}"/>
    <cellStyle name="•W€_Format" xfId="512" xr:uid="{AF4F71AC-97ED-467D-A853-4CC98FCE6ACA}"/>
    <cellStyle name="•W_Format" xfId="513" xr:uid="{672FD9F9-29EE-4D20-BB4D-932A4E47146C}"/>
    <cellStyle name="\¦ÏÝÌnCp[N" xfId="514" xr:uid="{081BCC14-7FC5-4A87-8771-A4A6C9F73A50}"/>
    <cellStyle name="aOe [0.00]_s-ns-bq" xfId="515" xr:uid="{B3E24CEC-B854-41CC-BA04-7A514FF7EED3}"/>
    <cellStyle name="aOe_s-ns-bq" xfId="516" xr:uid="{439FE77E-FC94-4C8A-987B-8BBE8291B2FF}"/>
    <cellStyle name="EY [0.00]_CONDITION (2)" xfId="517" xr:uid="{BD8E4C6A-0A93-4355-8DC3-FF58525EA96F}"/>
    <cellStyle name="EY_CONDITION (2)" xfId="518" xr:uid="{0F69F35C-AC9A-41EC-A6FF-0A3019C68DE5}"/>
    <cellStyle name="nCp[N" xfId="519" xr:uid="{7C036741-5C55-4530-A4F6-451C51392F9E}"/>
    <cellStyle name="W_D8" xfId="520" xr:uid="{BF6BC20E-B434-48AB-B84E-9FC0883DEABF}"/>
    <cellStyle name="0.Title" xfId="1294" xr:uid="{E21A105D-8462-48D0-95AA-71ADB3DED7F3}"/>
    <cellStyle name="1" xfId="521" xr:uid="{9DE63317-504E-4FBB-90C9-83E46510A1DC}"/>
    <cellStyle name="1.DIV-LV1" xfId="1298" xr:uid="{72D4314B-5CBF-404A-A361-9B46EC3E15CD}"/>
    <cellStyle name="1_kho luong bo sung ACMV" xfId="522" xr:uid="{8EE23BF7-F2A5-4FB4-8FBF-B4B7F74A81C0}"/>
    <cellStyle name="¹éºÐÀ²_      " xfId="523" xr:uid="{921C6446-596F-481E-A204-A439732DB3D1}"/>
    <cellStyle name="2" xfId="524" xr:uid="{CD572C86-AF60-41DA-B917-777BFA121C60}"/>
    <cellStyle name="20% - Accent1 2" xfId="525" xr:uid="{01737729-0568-470A-A408-F3B278F62C68}"/>
    <cellStyle name="20% - Accent2 2" xfId="526" xr:uid="{C38BE5FD-BF29-4B96-BE78-615C68A8F53F}"/>
    <cellStyle name="20% - Accent3 2" xfId="527" xr:uid="{BA4F594F-4A12-4082-843A-87F49102994E}"/>
    <cellStyle name="20% - Accent4 2" xfId="528" xr:uid="{160AE8D6-6D19-45D3-A831-97D068FE63DB}"/>
    <cellStyle name="20% - Accent5 2" xfId="529" xr:uid="{9C59B948-BB14-4256-940B-85EDC20C06CF}"/>
    <cellStyle name="20% - Accent6 2" xfId="530" xr:uid="{1F76AB24-AD25-4BE6-A954-674BF6810444}"/>
    <cellStyle name="20% - 輔色1" xfId="531" xr:uid="{9B36CFC1-DA3B-4C5F-B380-E2BA39067B6A}"/>
    <cellStyle name="20% - 輔色2" xfId="532" xr:uid="{ECA5C1E3-EE39-4742-AE81-61D6971F1BA5}"/>
    <cellStyle name="20% - 輔色3" xfId="533" xr:uid="{3F4985C3-4A36-4599-92E2-FF4B1331F863}"/>
    <cellStyle name="20% - 輔色4" xfId="534" xr:uid="{BD588B61-AF07-452B-B729-E0C8DA726A79}"/>
    <cellStyle name="20% - 輔色5" xfId="535" xr:uid="{ADA1FB31-6005-4161-8221-8805B4333889}"/>
    <cellStyle name="20% - 輔色6" xfId="536" xr:uid="{EFBE54E4-A9B4-429C-A266-317747AB6B3C}"/>
    <cellStyle name="3" xfId="537" xr:uid="{2387C902-5EF0-4E8B-99A1-3451B2D2C4BC}"/>
    <cellStyle name="3.Type(opt)" xfId="1300" xr:uid="{FBAF161D-C9CD-4F59-90B3-0631122E0469}"/>
    <cellStyle name="4" xfId="538" xr:uid="{CEF5A8EE-C0C9-44BA-A13D-8A5A1FC4FE1F}"/>
    <cellStyle name="4.Descriptions" xfId="1301" xr:uid="{A39E496A-0744-4AA5-A204-A2C269988828}"/>
    <cellStyle name="40% - Accent1 2" xfId="539" xr:uid="{0E187FAD-7764-4CC7-BA94-D6748A5CE56D}"/>
    <cellStyle name="40% - Accent2 2" xfId="540" xr:uid="{CE2B18C7-4485-4326-92EE-B2D4FC6A9F33}"/>
    <cellStyle name="40% - Accent3 2" xfId="541" xr:uid="{D062696B-2B95-4AC0-B14C-B037E874FC1C}"/>
    <cellStyle name="40% - Accent4 2" xfId="542" xr:uid="{B1C613F4-9D00-4297-9F24-253297EF31F5}"/>
    <cellStyle name="40% - Accent5 2" xfId="543" xr:uid="{D7839AD9-4EF1-40D4-AFC9-AFD6332EB103}"/>
    <cellStyle name="40% - Accent6 2" xfId="544" xr:uid="{8975C9D0-BC94-4956-A622-F4AB07BC0AB8}"/>
    <cellStyle name="40% - 輔色1" xfId="545" xr:uid="{D919984A-EDFF-4FFF-9907-F04F646978FC}"/>
    <cellStyle name="40% - 輔色2" xfId="546" xr:uid="{178579E0-5C09-4A0F-9763-B914B0F9DD15}"/>
    <cellStyle name="40% - 輔色3" xfId="547" xr:uid="{7F494277-0CF4-4BE1-9BD4-1D0A582D7EB3}"/>
    <cellStyle name="40% - 輔色4" xfId="548" xr:uid="{F88332AF-E3FF-4FB9-879F-B21C8BE6EEB0}"/>
    <cellStyle name="40% - 輔色5" xfId="549" xr:uid="{2C062F41-8DBA-4862-BB21-F866AE332765}"/>
    <cellStyle name="40% - 輔色6" xfId="550" xr:uid="{59B447DF-41D1-4083-B582-77ECD845FA02}"/>
    <cellStyle name="5.Zone (Qty)" xfId="1299" xr:uid="{86FFD5DC-11C3-4CA5-AD88-A83D1AD1C0E6}"/>
    <cellStyle name="6.Level (Qty)" xfId="1302" xr:uid="{BDF91F46-706E-42CD-A265-1A809C40A551}"/>
    <cellStyle name="60% - Accent1 2" xfId="551" xr:uid="{048E8519-58E5-45C5-982F-C9842CF4D117}"/>
    <cellStyle name="60% - Accent2 2" xfId="552" xr:uid="{0633821F-DBCA-42CF-9610-21B7A041CEB0}"/>
    <cellStyle name="60% - Accent3 2" xfId="553" xr:uid="{941275CE-EE76-45DD-83F4-3BF5E25A3549}"/>
    <cellStyle name="60% - Accent4 2" xfId="554" xr:uid="{DC7F3810-C9BD-474B-B1E4-3C69602A8FB7}"/>
    <cellStyle name="60% - Accent5 2" xfId="555" xr:uid="{41241F6F-EE0B-42D7-8403-24DFEC9CAF81}"/>
    <cellStyle name="60% - Accent6 2" xfId="556" xr:uid="{950F366B-DF4C-4F94-A445-CD9261198E73}"/>
    <cellStyle name="60% - 輔色1" xfId="557" xr:uid="{13F46305-97BC-400A-AD54-B1AA0A8F674E}"/>
    <cellStyle name="60% - 輔色2" xfId="558" xr:uid="{427DDC29-25A0-41C5-A5DD-0F7152249BC1}"/>
    <cellStyle name="60% - 輔色3" xfId="559" xr:uid="{4C867C65-3C9E-48C0-9F98-FF0F4FBE2D4A}"/>
    <cellStyle name="60% - 輔色4" xfId="560" xr:uid="{7686766D-47F7-4D7B-92BE-CBA4057B8DFC}"/>
    <cellStyle name="60% - 輔色5" xfId="561" xr:uid="{1B4900C1-84D4-44E0-9821-5FD31C01CF40}"/>
    <cellStyle name="60% - 輔色6" xfId="562" xr:uid="{5D34D71E-C50E-449E-98B4-6A5DD05A5DDA}"/>
    <cellStyle name="Accent1 2" xfId="563" xr:uid="{3F58F0A4-D674-4E45-B3F1-82455C4DE6B8}"/>
    <cellStyle name="Accent2 2" xfId="564" xr:uid="{5E2346E9-9844-430D-B8E5-323B5D3D4A07}"/>
    <cellStyle name="Accent3 2" xfId="565" xr:uid="{56740F12-984F-4C4F-9A4B-B978E4FBBBEA}"/>
    <cellStyle name="Accent4 2" xfId="566" xr:uid="{0481F3E3-74F9-4697-AFB5-EF52A789EE9E}"/>
    <cellStyle name="Accent5 2" xfId="567" xr:uid="{54A78854-98FE-4520-A218-10A33388F5F1}"/>
    <cellStyle name="Accent6 2" xfId="568" xr:uid="{E294DDB0-6899-4D62-B1F7-9DE9A3F20462}"/>
    <cellStyle name="ÅëÈ­ [0]_      " xfId="569" xr:uid="{5CE8ECD2-33F0-4473-A495-EA3C7B50EBB1}"/>
    <cellStyle name="AeE­ [0]_INQUIRY ¿?¾÷AßAø " xfId="570" xr:uid="{C1FA961F-F950-411A-A5FF-F31581BB267B}"/>
    <cellStyle name="ÅëÈ­ [0]_L601CPT" xfId="571" xr:uid="{E01067B3-7A94-449E-A2C6-F0FA4EA169CD}"/>
    <cellStyle name="ÅëÈ­_      " xfId="572" xr:uid="{7671F01E-F1E7-4EA0-A51D-150A8DD5E605}"/>
    <cellStyle name="AeE­_INQUIRY ¿?¾÷AßAø " xfId="573" xr:uid="{CA1865ED-4BC8-477B-89D4-207EB83021D2}"/>
    <cellStyle name="ÅëÈ­_L601CPT" xfId="574" xr:uid="{ABA3FB9D-73E7-4EBB-9B9B-99AF33A1341D}"/>
    <cellStyle name="args.style" xfId="575" xr:uid="{AA517878-DBF1-4ECB-AE25-675813CE33A2}"/>
    <cellStyle name="ÄÞ¸¶ [0]_      " xfId="576" xr:uid="{8C0FA4FA-7CEE-440D-B680-68B88E3BD7A1}"/>
    <cellStyle name="AÞ¸¶ [0]_INQUIRY ¿?¾÷AßAø " xfId="577" xr:uid="{C80D8B74-DC26-4D85-AAA4-5082C6037094}"/>
    <cellStyle name="ÄÞ¸¶ [0]_L601CPT" xfId="578" xr:uid="{FA31D8F3-2CE3-49FB-8DCB-2B6A9DD16FF1}"/>
    <cellStyle name="ÄÞ¸¶_      " xfId="579" xr:uid="{0888EB2C-5253-4FFB-B7BA-9CAB602BA8D5}"/>
    <cellStyle name="AÞ¸¶_INQUIRY ¿?¾÷AßAø " xfId="580" xr:uid="{91649F59-3076-49B2-A647-67485AF0E5E4}"/>
    <cellStyle name="ÄÞ¸¶_L601CPT" xfId="581" xr:uid="{7768DA87-0DCD-4E34-83CD-05BE492C203D}"/>
    <cellStyle name="AutoFormat Options" xfId="582" xr:uid="{0514A8F7-DE3C-49D1-A71D-DDF0D95A65F8}"/>
    <cellStyle name="Bad 2" xfId="583" xr:uid="{8EF7B699-0BA7-4323-B307-077854B9BF77}"/>
    <cellStyle name="Body" xfId="584" xr:uid="{AF7F7420-AB20-4147-9715-1C4FF0484962}"/>
    <cellStyle name="C?AØ_¿?¾÷CoE² " xfId="585" xr:uid="{8FD6A478-B244-4AC4-B8D2-932F3FD7D144}"/>
    <cellStyle name="Ç¥ÁØ_      " xfId="586" xr:uid="{BF0650F5-8175-42C5-B11B-6B08CACD99D7}"/>
    <cellStyle name="C￥AØ_¿μ¾÷CoE² " xfId="587" xr:uid="{424ED396-0093-4036-B573-98E3FD267283}"/>
    <cellStyle name="Ç¥ÁØ_±¸¹Ì´ëÃ¥" xfId="588" xr:uid="{EB218647-E87D-46BA-8908-D6DD331E1E8A}"/>
    <cellStyle name="Calc Currency (0)" xfId="589" xr:uid="{9521BA58-9E93-4DD1-BD3F-D743130EC676}"/>
    <cellStyle name="Calc Currency (2)" xfId="590" xr:uid="{EE46D73B-3287-41D2-8021-C8869A43CC2A}"/>
    <cellStyle name="Calc Percent (0)" xfId="591" xr:uid="{4C6064CA-1C62-47B5-9DD0-C905CB49409F}"/>
    <cellStyle name="Calc Percent (1)" xfId="592" xr:uid="{86F67524-1EBE-4A77-825E-6D0751C59B6D}"/>
    <cellStyle name="Calc Percent (2)" xfId="593" xr:uid="{AE2DCA78-3D84-429D-9B9C-62A1360E9325}"/>
    <cellStyle name="Calc Units (0)" xfId="594" xr:uid="{BC3E9A4B-149B-413F-847B-1BD93D4CB0B7}"/>
    <cellStyle name="Calc Units (1)" xfId="595" xr:uid="{59D33401-2B65-455E-81B4-13EE9A91A963}"/>
    <cellStyle name="Calc Units (2)" xfId="596" xr:uid="{FA18E1F1-4508-4338-99B1-6781B978736E}"/>
    <cellStyle name="Calculation 2" xfId="597" xr:uid="{CC1B9489-F403-47B9-8BCC-65F1C9AFD972}"/>
    <cellStyle name="category" xfId="598" xr:uid="{A0B086A4-916D-4091-A4D5-12C9267F08EE}"/>
    <cellStyle name="Cerrency_Sheet2_XANGDAU" xfId="599" xr:uid="{4ED0762F-86A3-4B55-BF7A-BEC41632EF0D}"/>
    <cellStyle name="Check Cell 2" xfId="628" xr:uid="{64DDD049-AD55-4CD2-B6DC-FD3549A7E424}"/>
    <cellStyle name="Chi phÝ kh¸c_Book1" xfId="629" xr:uid="{38AF5919-F7DC-4F26-B5C2-DBAAE62ED4A8}"/>
    <cellStyle name="CHUONG" xfId="630" xr:uid="{923FC00D-C8A7-4740-AD62-AA0D20B753B0}"/>
    <cellStyle name="ColLevel_1 2" xfId="1361" xr:uid="{F78455F4-8D5E-40F3-940C-CBF6948DD40C}"/>
    <cellStyle name="Column Header" xfId="600" xr:uid="{D546ABFD-F973-4401-ACEF-7C11833C4E98}"/>
    <cellStyle name="Column Header 3" xfId="1286" xr:uid="{F4B9E019-8C87-46E7-860F-F9757DFEFAB1}"/>
    <cellStyle name="Comma" xfId="1" builtinId="3"/>
    <cellStyle name="Comma [0] 2" xfId="1309" xr:uid="{8EC58559-D614-422E-9870-A0EE1EDF83F5}"/>
    <cellStyle name="Comma [0] 5" xfId="1310" xr:uid="{2814EAC3-3F06-45A3-AB47-C8172319AEEA}"/>
    <cellStyle name="Comma [0] 6" xfId="1288" xr:uid="{5F04F571-963A-48D4-984D-98D9BAFB8290}"/>
    <cellStyle name="Comma [00]" xfId="601" xr:uid="{4059E99E-0D6A-44D5-AE8F-669104D8F18F}"/>
    <cellStyle name="Comma 10" xfId="602" xr:uid="{9FB32FAB-0C8A-46CB-8004-175CEE1A3C9C}"/>
    <cellStyle name="Comma 10 2" xfId="1349" xr:uid="{FB8EE627-EE34-4032-9EE8-94397FE40524}"/>
    <cellStyle name="Comma 10 2 2" xfId="1318" xr:uid="{41ADB19C-4CEF-459C-AE10-F94607F6054C}"/>
    <cellStyle name="Comma 10 2 3" xfId="1308" xr:uid="{8542502D-3818-4D52-B869-84D6E88A06EF}"/>
    <cellStyle name="Comma 10 2 9" xfId="1357" xr:uid="{E3402D42-13A5-4AA3-A169-AC433FD2A5F2}"/>
    <cellStyle name="Comma 11" xfId="38" xr:uid="{6EA2FF49-29C2-45F3-BB06-315CD0E49236}"/>
    <cellStyle name="Comma 11 10 8" xfId="1354" xr:uid="{32BF4578-DCC1-4D40-9802-4B241BAC107B}"/>
    <cellStyle name="Comma 11 19 22" xfId="1340" xr:uid="{0BB1A678-9CCC-4FDF-9878-72623308CA6A}"/>
    <cellStyle name="Comma 11 19 22 2" xfId="1367" xr:uid="{287503DA-4C9B-4799-A042-7159597294E3}"/>
    <cellStyle name="Comma 11 2" xfId="41" xr:uid="{3CBA588C-982B-41FF-91C8-E3EF37143E52}"/>
    <cellStyle name="Comma 11 2 2" xfId="1262" xr:uid="{D9182679-9E36-455C-98FB-300EFD2FDB15}"/>
    <cellStyle name="Comma 12" xfId="1260" xr:uid="{CE2475F0-3A52-429C-940E-B5A7939CB64A}"/>
    <cellStyle name="Comma 12 2" xfId="1366" xr:uid="{C9D9F901-767B-4AE3-B6CC-C27F58B91607}"/>
    <cellStyle name="Comma 12 3" xfId="1370" xr:uid="{71871D93-6D46-46F8-B975-006100C0B322}"/>
    <cellStyle name="Comma 13" xfId="1269" xr:uid="{863BDEC7-8E95-44C7-9F0F-43AFDD6D4F13}"/>
    <cellStyle name="Comma 14" xfId="1331" xr:uid="{C055EDC9-6F91-4094-8423-A2D86F63E9EE}"/>
    <cellStyle name="Comma 15" xfId="1359" xr:uid="{B0FE3BFF-D64F-49A4-9B15-4B804988F319}"/>
    <cellStyle name="Comma 16" xfId="1338" xr:uid="{4D71C513-BD48-4B44-8180-DCC3A753FDE4}"/>
    <cellStyle name="Comma 17" xfId="1371" xr:uid="{05424B39-2D49-4BF6-995A-B9E5A42256A7}"/>
    <cellStyle name="Comma 18" xfId="1363" xr:uid="{CB8327B8-730A-41AF-8543-1DCEB3A411B2}"/>
    <cellStyle name="Comma 19" xfId="31" xr:uid="{00000000-0005-0000-0000-000069020000}"/>
    <cellStyle name="Comma 2" xfId="12" xr:uid="{BDDCAE99-3B7C-4FC1-BBD0-CB136F9EF73D}"/>
    <cellStyle name="Comma 2 10" xfId="24" xr:uid="{B2B1722A-6D28-4CFC-A9A8-F57FC7EEB28C}"/>
    <cellStyle name="Comma 2 2" xfId="40" xr:uid="{AE364239-D39A-47E4-99C0-FFAA0BCA7CA5}"/>
    <cellStyle name="Comma 2 2 10 2" xfId="1336" xr:uid="{0340CA8A-21F4-4597-B9FD-E1E393380D4F}"/>
    <cellStyle name="Comma 2 2 2" xfId="1282" xr:uid="{18C37C02-94B6-41F2-9FFE-914314B43E98}"/>
    <cellStyle name="Comma 2 2 3" xfId="1328" xr:uid="{1C8745A1-C7D6-4E7E-81BE-2A8AEAE31F56}"/>
    <cellStyle name="Comma 2 2 4" xfId="604" xr:uid="{2681BA79-C824-480E-8271-039CC42C9532}"/>
    <cellStyle name="Comma 2 3" xfId="605" xr:uid="{EA21F6E7-FCE1-4132-BA9D-8BE9DC84C700}"/>
    <cellStyle name="Comma 2 3 2" xfId="606" xr:uid="{8967BF20-CFBF-4FE4-9866-6524214C30EE}"/>
    <cellStyle name="Comma 2 3 3 2 2" xfId="1337" xr:uid="{79AEE9C3-3151-4229-9F28-E7867C93945F}"/>
    <cellStyle name="Comma 2 4" xfId="607" xr:uid="{88CDDC15-AED6-4F13-B05A-F17C47005EF5}"/>
    <cellStyle name="Comma 2 5" xfId="1270" xr:uid="{F9812A51-AB5B-44F9-A925-EA1F2E24C81E}"/>
    <cellStyle name="Comma 2 6" xfId="1362" xr:uid="{D0BAF688-4112-4AAE-9030-4A1DCA981D73}"/>
    <cellStyle name="Comma 2 7" xfId="603" xr:uid="{10213D27-7585-43E5-9308-01FAF7012E9D}"/>
    <cellStyle name="Comma 2 8" xfId="33" xr:uid="{BDDCAE99-3B7C-4FC1-BBD0-CB136F9EF73D}"/>
    <cellStyle name="Comma 2 9" xfId="28" xr:uid="{E12A6EB2-F44B-4280-855B-FF89BAC18130}"/>
    <cellStyle name="Comma 2_Cau tao gia Arico T2-2009" xfId="608" xr:uid="{001BC1D0-8C8C-4D55-BF56-145A4B5B6F8C}"/>
    <cellStyle name="Comma 20" xfId="26" xr:uid="{00000000-0005-0000-0000-000068020000}"/>
    <cellStyle name="Comma 21" xfId="20" xr:uid="{00000000-0005-0000-0000-00006F020000}"/>
    <cellStyle name="Comma 22" xfId="9" xr:uid="{00000000-0005-0000-0000-000063020000}"/>
    <cellStyle name="Comma 23" xfId="1393" xr:uid="{9AF78A7F-FFB9-46AA-8998-3D91A04FF052}"/>
    <cellStyle name="Comma 29" xfId="1287" xr:uid="{AEB335FD-DE12-4918-9016-E491C0D81FB9}"/>
    <cellStyle name="Comma 3" xfId="16" xr:uid="{128AED09-93D9-4241-9612-FDC7F6163ACA}"/>
    <cellStyle name="Comma 3 2" xfId="610" xr:uid="{1A8C31A6-4856-4ED0-8896-CEA1D331C08D}"/>
    <cellStyle name="Comma 3 2 2" xfId="611" xr:uid="{BF24D17A-E6EB-4EF9-8FDF-D2E0B688420D}"/>
    <cellStyle name="Comma 3 2 2 2" xfId="1321" xr:uid="{EA9576C7-BF8F-470E-95E5-C1583BBBF6A0}"/>
    <cellStyle name="Comma 3 2 3" xfId="1293" xr:uid="{C5A28DD8-9F79-4945-8699-00F1810FEE6A}"/>
    <cellStyle name="Comma 3 3" xfId="612" xr:uid="{5B3159B5-B883-4CCD-B0F7-75577D023E3C}"/>
    <cellStyle name="Comma 3 3 2" xfId="1324" xr:uid="{F52A180B-DBE3-494A-B698-D3EFB986DBC3}"/>
    <cellStyle name="Comma 3 4" xfId="1265" xr:uid="{086BC30C-E871-4F52-9F4A-7B3AE87EDE13}"/>
    <cellStyle name="Comma 3 5" xfId="1291" xr:uid="{EBA8704D-58A3-4FFE-A1F0-4BD598BA7902}"/>
    <cellStyle name="Comma 3 5 2" xfId="1312" xr:uid="{B3CA03F6-2B58-4D3C-8114-E37B6C603EB8}"/>
    <cellStyle name="Comma 3 6" xfId="1272" xr:uid="{500CFB59-FB60-48F8-9505-C5FDCE12CE99}"/>
    <cellStyle name="Comma 3 7" xfId="609" xr:uid="{2F15B81A-4484-4D10-9EF1-A04A24A6D851}"/>
    <cellStyle name="Comma 3 8" xfId="34" xr:uid="{128AED09-93D9-4241-9612-FDC7F6163ACA}"/>
    <cellStyle name="Comma 3 9" xfId="27" xr:uid="{96725872-051F-47EB-8F41-838D4555E824}"/>
    <cellStyle name="Comma 3_Cau tao gia Arico T2-2009" xfId="613" xr:uid="{B3D2DE5F-A1EA-401A-8BAE-473927B58AF6}"/>
    <cellStyle name="Comma 4" xfId="18" xr:uid="{8A25ABBC-4CD5-4AD9-8027-1273FC3F875B}"/>
    <cellStyle name="Comma 4 2" xfId="1319" xr:uid="{22EC8720-9C05-4BBB-8850-9FFAC2D913C3}"/>
    <cellStyle name="Comma 4 3" xfId="614" xr:uid="{BF3502E9-8FD2-4B01-A672-703725418F5E}"/>
    <cellStyle name="Comma 4 4" xfId="36" xr:uid="{C85CC76F-D045-4B2C-B2FF-999978976237}"/>
    <cellStyle name="Comma 41 2" xfId="1374" xr:uid="{FC6FEBF4-E832-45F4-A178-FB4EB85C0910}"/>
    <cellStyle name="Comma 5" xfId="43" xr:uid="{53F0CB49-39BD-4DC9-A974-42AD759366B0}"/>
    <cellStyle name="Comma 5 2" xfId="1327" xr:uid="{AEC495C5-4E02-49A2-B88F-F10D591C1DE0}"/>
    <cellStyle name="Comma 5 3" xfId="615" xr:uid="{F085BA89-5F2B-45C7-A7B9-0D8A9058D021}"/>
    <cellStyle name="Comma 6" xfId="45" xr:uid="{47A0101F-2EC3-459C-A3D3-CE3127266D39}"/>
    <cellStyle name="Comma 6 2" xfId="616" xr:uid="{A7F28FC5-E5C1-43F0-ADD3-B6002711064F}"/>
    <cellStyle name="Comma 7" xfId="617" xr:uid="{D3C25474-98DE-40AB-8013-469CBFB52851}"/>
    <cellStyle name="Comma 8" xfId="618" xr:uid="{147C4C4E-8081-4981-9804-C47CE3A6AD4D}"/>
    <cellStyle name="Comma 8 4 2" xfId="1339" xr:uid="{48F1D3C0-632A-495D-8B38-DE6827F6F5B1}"/>
    <cellStyle name="Comma 9" xfId="619" xr:uid="{F1536665-A097-4132-BD40-40F11952534B}"/>
    <cellStyle name="Comma 9 4 2" xfId="1333" xr:uid="{0CC18E4C-0D0D-491E-A92A-83F7FFCE8B70}"/>
    <cellStyle name="comma zerodec" xfId="620" xr:uid="{1ECA81D8-C8AC-4193-BF81-C70394C3F4DA}"/>
    <cellStyle name="Comma0" xfId="621" xr:uid="{DAB24FB8-4ED4-4E88-8ACD-5B9DF28155D5}"/>
    <cellStyle name="Copied" xfId="622" xr:uid="{AE1CE9F5-791A-46F3-A44C-FE6D79E6C796}"/>
    <cellStyle name="COST1" xfId="623" xr:uid="{076F2084-97C8-43E8-AC26-38B6CAC6F235}"/>
    <cellStyle name="Currency [00]" xfId="624" xr:uid="{FF9B6164-138F-43DE-81F7-4B95DDDF6A65}"/>
    <cellStyle name="Currency 2" xfId="625" xr:uid="{3411F638-9FEE-4D8A-A0F5-34A87CE457E7}"/>
    <cellStyle name="Currency0" xfId="626" xr:uid="{8F21CBDE-5427-48B6-8198-C8B81B3046F9}"/>
    <cellStyle name="Currency1" xfId="627" xr:uid="{58774172-F6D8-4652-AC1A-C28C6B363FB2}"/>
    <cellStyle name="D$_x0004_P??_x0010__x000b_?_x0015_?$_x0004_?_x000f_?" xfId="631" xr:uid="{FC1201E8-B026-4420-A401-52C3E855C9B3}"/>
    <cellStyle name="D$_x0004_P?_x0010__x000b_픲_x0015_딡$_x0004_뗈_x000f_?" xfId="632" xr:uid="{DC2CE611-1058-4720-92B4-9796EC691F42}"/>
    <cellStyle name="Date" xfId="633" xr:uid="{E41651A2-7CB4-48B6-AF09-12F3ACA3BF19}"/>
    <cellStyle name="Date Short" xfId="634" xr:uid="{6B0E37F6-0C1B-4CFE-A1DE-395259FDE682}"/>
    <cellStyle name="Date_Book1" xfId="635" xr:uid="{126B5132-0FB1-4DD4-93CD-39F6D816E69B}"/>
    <cellStyle name="Dezimal [0]_ALLE_ITEMS_280800_EV_NL" xfId="636" xr:uid="{236B135D-040D-4402-A740-9CCCC64F7A63}"/>
    <cellStyle name="Dezimal_AKE_100N" xfId="637" xr:uid="{1AD96660-B13B-4A89-B0F2-16DB3D2974FE}"/>
    <cellStyle name="DIV-Collection" xfId="1304" xr:uid="{C7816AF8-25A4-41CB-B37F-D9E9920A87DE}"/>
    <cellStyle name="DIV-ItemNo" xfId="1295" xr:uid="{4815D0F5-46E8-4C6F-B0CD-AB6BBB49540F}"/>
    <cellStyle name="DIV-Qty" xfId="1296" xr:uid="{852CFC63-D1C9-4F51-92D5-2292E3B5AC2F}"/>
    <cellStyle name="DIV-Rate" xfId="1303" xr:uid="{E6C89A99-E1FB-4142-8F5E-1F50147B0130}"/>
    <cellStyle name="DIV-Unit" xfId="1297" xr:uid="{8BBF9B6D-903F-4284-8E48-C116BEA246CF}"/>
    <cellStyle name="Dollar (zero dec)" xfId="638" xr:uid="{79A47DF0-C551-415B-BE8D-F9B5FF789FD0}"/>
    <cellStyle name="Dziesi?tny [0]_Invoices2001Slovakia" xfId="639" xr:uid="{ADE31367-FF06-471F-B7E6-EF382F78A151}"/>
    <cellStyle name="Dziesi?tny_Invoices2001Slovakia" xfId="640" xr:uid="{B30D22AC-7D67-4CCA-8411-9779315BF572}"/>
    <cellStyle name="Dziesietny [0]_Invoices2001Slovakia" xfId="641" xr:uid="{7C2F0FE1-A559-41ED-B462-33DE6EC15FB5}"/>
    <cellStyle name="Dziesiętny [0]_Invoices2001Slovakia" xfId="642" xr:uid="{47FA75A7-FDDA-4557-954B-79BA3C5B1E6B}"/>
    <cellStyle name="Dziesietny [0]_Invoices2001Slovakia_01_Nha so 1_Dien" xfId="643" xr:uid="{1EA8B561-E477-4459-96BE-DE95CDCF78D8}"/>
    <cellStyle name="Dziesiętny [0]_Invoices2001Slovakia_01_Nha so 1_Dien" xfId="644" xr:uid="{26F073A9-BDC5-42F8-B6C7-6B1FE660D1CE}"/>
    <cellStyle name="Dziesietny [0]_Invoices2001Slovakia_10_Nha so 10_Dien1" xfId="645" xr:uid="{8529E3D6-D4D0-48C7-91FA-5CCCADC7CCFB}"/>
    <cellStyle name="Dziesiętny [0]_Invoices2001Slovakia_10_Nha so 10_Dien1" xfId="646" xr:uid="{E5A8CC9B-B5AA-4403-8263-F1DE9276FA69}"/>
    <cellStyle name="Dziesietny [0]_Invoices2001Slovakia_bang so sanh gia tri" xfId="647" xr:uid="{28190D97-3113-48BE-8AC1-7B33C01FADAE}"/>
    <cellStyle name="Dziesiętny [0]_Invoices2001Slovakia_Bao ve ss" xfId="648" xr:uid="{96A9CDC9-E68B-4CF5-96D2-E1AAF04F513B}"/>
    <cellStyle name="Dziesietny [0]_Invoices2001Slovakia_Book1" xfId="649" xr:uid="{423B99C3-4097-4986-A7A6-DA9AB4465C89}"/>
    <cellStyle name="Dziesiętny [0]_Invoices2001Slovakia_Book1" xfId="650" xr:uid="{51CA4141-6FE6-4130-A433-44A11B4EBA6D}"/>
    <cellStyle name="Dziesietny [0]_Invoices2001Slovakia_Book1_1" xfId="651" xr:uid="{597F0575-42BF-42CB-85B2-6F4F930266C7}"/>
    <cellStyle name="Dziesiętny [0]_Invoices2001Slovakia_Book1_1" xfId="652" xr:uid="{FDD784E6-59E8-45FA-993E-7574A8C8DC3A}"/>
    <cellStyle name="Dziesietny [0]_Invoices2001Slovakia_Book1_1_Book1" xfId="653" xr:uid="{CCBC384E-3B64-4F0F-9B81-3650656A0FD6}"/>
    <cellStyle name="Dziesiętny [0]_Invoices2001Slovakia_Book1_1_Book1" xfId="654" xr:uid="{9FCB3007-176F-44A3-9546-7C8575A37C33}"/>
    <cellStyle name="Dziesietny [0]_Invoices2001Slovakia_Book1_2" xfId="655" xr:uid="{0F6BD1CC-0F86-4A76-B7F4-9999B74A9498}"/>
    <cellStyle name="Dziesiętny [0]_Invoices2001Slovakia_Book1_2" xfId="656" xr:uid="{FFFA766F-7241-4340-9F1F-F4DAD6FBA967}"/>
    <cellStyle name="Dziesietny [0]_Invoices2001Slovakia_Dien A3" xfId="657" xr:uid="{923931DD-6762-4241-8115-BC7442FD2D28}"/>
    <cellStyle name="Dziesiętny [0]_Invoices2001Slovakia_Nhalamviec VTC(25-1-05)" xfId="658" xr:uid="{AA0E36AF-0281-47A5-A94F-E60ADB71C2F2}"/>
    <cellStyle name="Dziesietny [0]_Invoices2001Slovakia_TDT KHANH HOA" xfId="659" xr:uid="{72D88240-1819-4A46-B08D-702C87C1B609}"/>
    <cellStyle name="Dziesiętny [0]_Invoices2001Slovakia_TDT KHANH HOA" xfId="660" xr:uid="{55EB9850-7666-4B48-A97B-917EC755A772}"/>
    <cellStyle name="Dziesietny [0]_Invoices2001Slovakia_TDT quangngai" xfId="661" xr:uid="{0BB0E76D-3031-4608-B1EE-CE308CE5A87F}"/>
    <cellStyle name="Dziesiętny [0]_Invoices2001Slovakia_TDT quangngai" xfId="662" xr:uid="{F64C7E9B-7FE2-45CA-AD65-AFAAF85BBFE7}"/>
    <cellStyle name="Dziesietny [0]_Invoices2001Slovakia_TH ha tang ss" xfId="663" xr:uid="{2B904D4C-39AA-4C72-B89E-DEFFF267E5B4}"/>
    <cellStyle name="Dziesiętny [0]_Invoices2001Slovakia_TH ha tang ss" xfId="664" xr:uid="{8C881028-C144-458F-A7E4-F24FA8739337}"/>
    <cellStyle name="Dziesietny [0]_Invoices2001Slovakia_XD (mong+than A1) SS" xfId="665" xr:uid="{477B6204-B878-49AF-ABC7-A58599090223}"/>
    <cellStyle name="Dziesiętny [0]_Invoices2001Slovakia_XD( xu ly mong )A3ss" xfId="666" xr:uid="{F71DB370-F43B-48CF-BE84-D1F49F8717A8}"/>
    <cellStyle name="Dziesietny_Invoices2001Slovakia" xfId="667" xr:uid="{E4976F7E-678C-4F90-8DEA-DB36279A6649}"/>
    <cellStyle name="Dziesiętny_Invoices2001Slovakia" xfId="668" xr:uid="{9AED258D-26C3-4B54-ACE3-427B2FE20AC4}"/>
    <cellStyle name="Dziesietny_Invoices2001Slovakia_01_Nha so 1_Dien" xfId="669" xr:uid="{32876D17-9EF8-4C98-8CD3-08F2B3EC830B}"/>
    <cellStyle name="Dziesiętny_Invoices2001Slovakia_01_Nha so 1_Dien" xfId="670" xr:uid="{27479788-65F7-4B1B-AB23-D70CC03464C3}"/>
    <cellStyle name="Dziesietny_Invoices2001Slovakia_10_Nha so 10_Dien1" xfId="671" xr:uid="{E3256CD5-598D-4375-A8E5-8D510D0AF680}"/>
    <cellStyle name="Dziesiętny_Invoices2001Slovakia_10_Nha so 10_Dien1" xfId="672" xr:uid="{40CA463E-225F-414E-88A7-BE9AED6913FC}"/>
    <cellStyle name="Dziesietny_Invoices2001Slovakia_bang so sanh gia tri" xfId="673" xr:uid="{EB3CEC56-86A1-4B27-B0E7-CFA9561BCD2D}"/>
    <cellStyle name="Dziesiętny_Invoices2001Slovakia_Bao ve ss" xfId="674" xr:uid="{F6C6143C-548B-4872-9CB4-8C1FCD5F4BD0}"/>
    <cellStyle name="Dziesietny_Invoices2001Slovakia_Book1" xfId="675" xr:uid="{9CA2ACEB-56C6-49A4-99F3-A96EC7EEA4FB}"/>
    <cellStyle name="Dziesiętny_Invoices2001Slovakia_Book1" xfId="676" xr:uid="{F419160C-9E7A-44C9-B035-42869F934B34}"/>
    <cellStyle name="Dziesietny_Invoices2001Slovakia_Book1_1" xfId="677" xr:uid="{C597EED6-E6BC-4F0E-A70A-7BB8FC8AD6EF}"/>
    <cellStyle name="Dziesiętny_Invoices2001Slovakia_Book1_1" xfId="678" xr:uid="{C5248D44-938D-4690-8096-731DA211A6BC}"/>
    <cellStyle name="Dziesietny_Invoices2001Slovakia_Book1_1_Book1" xfId="679" xr:uid="{97357255-0F37-4C79-98BF-EB852BD34215}"/>
    <cellStyle name="Dziesiętny_Invoices2001Slovakia_Book1_1_Book1" xfId="680" xr:uid="{BB942AB6-F967-40D0-A884-F00AE7AA6933}"/>
    <cellStyle name="Dziesietny_Invoices2001Slovakia_Book1_2" xfId="681" xr:uid="{7E17F5C6-763E-4DD6-B9C5-3757BB0FF928}"/>
    <cellStyle name="Dziesiętny_Invoices2001Slovakia_Book1_2" xfId="682" xr:uid="{9950A35F-D00A-4737-849A-AD91E397BF29}"/>
    <cellStyle name="Dziesietny_Invoices2001Slovakia_Dien A3" xfId="683" xr:uid="{ADBA0BD4-C5EE-4DAC-9D16-1BCFABBF7FC9}"/>
    <cellStyle name="Dziesiętny_Invoices2001Slovakia_Nhalamviec VTC(25-1-05)" xfId="684" xr:uid="{198556DC-37C6-4B7B-9BC2-81575C5F0D91}"/>
    <cellStyle name="Dziesietny_Invoices2001Slovakia_TDT KHANH HOA" xfId="685" xr:uid="{52F5538D-7687-4385-AB47-38158E7902F1}"/>
    <cellStyle name="Dziesiętny_Invoices2001Slovakia_TDT KHANH HOA" xfId="686" xr:uid="{618073C0-E7C7-4C77-8F95-AC9E75D9D558}"/>
    <cellStyle name="Dziesietny_Invoices2001Slovakia_TDT quangngai" xfId="687" xr:uid="{1903B4DC-5BA9-4836-9F20-5C9B682861C0}"/>
    <cellStyle name="Dziesiętny_Invoices2001Slovakia_TDT quangngai" xfId="688" xr:uid="{D05FDFD2-E2E0-46C1-89CA-54064A6D40C8}"/>
    <cellStyle name="Dziesietny_Invoices2001Slovakia_TH ha tang ss" xfId="689" xr:uid="{6F81CD18-BC9A-46A1-BC8C-6A1C932BA4C7}"/>
    <cellStyle name="Dziesiętny_Invoices2001Slovakia_TH ha tang ss" xfId="690" xr:uid="{39AB472E-6F40-4F91-AB4F-EA323A0D6F30}"/>
    <cellStyle name="Dziesietny_Invoices2001Slovakia_XD (mong+than A1) SS" xfId="691" xr:uid="{0F0E23A7-7730-4C54-984C-FA15AEBFC160}"/>
    <cellStyle name="Dziesiętny_Invoices2001Slovakia_XD( xu ly mong )A3ss" xfId="692" xr:uid="{54E8DD3C-74E0-4A5B-9072-D99417E9CE13}"/>
    <cellStyle name="Enter Currency (0)" xfId="693" xr:uid="{287C62B9-44FA-4F1A-89D3-E067F4505DD5}"/>
    <cellStyle name="Enter Currency (2)" xfId="694" xr:uid="{D750EA33-F2D3-47F2-ABCE-FCC6EA421BB9}"/>
    <cellStyle name="Enter Units (0)" xfId="695" xr:uid="{F65BB9D9-E839-44B1-83FF-842A01C94DF8}"/>
    <cellStyle name="Enter Units (1)" xfId="696" xr:uid="{C821851A-FB1E-4DCD-B13A-833DA0A21F67}"/>
    <cellStyle name="Enter Units (2)" xfId="697" xr:uid="{75AAC24F-4D36-4075-9951-A03567182D6B}"/>
    <cellStyle name="Entered" xfId="698" xr:uid="{7C05DD79-FB5A-496E-A49C-E575E4D3692F}"/>
    <cellStyle name="Euro" xfId="699" xr:uid="{6B3B86D2-1B33-4E44-A40F-263B64ACCE45}"/>
    <cellStyle name="Explanatory Text 2" xfId="700" xr:uid="{6E55F6EB-3809-4C90-ABED-2BD86950E83E}"/>
    <cellStyle name="Fixed" xfId="701" xr:uid="{A1FFBF18-B34C-4267-9520-735B1361034C}"/>
    <cellStyle name="Good 2" xfId="702" xr:uid="{D0806F9F-C49D-489B-94A6-996E9C1EB42E}"/>
    <cellStyle name="Grey" xfId="703" xr:uid="{1A5E0A8D-CEC7-4D01-9674-7C36C9724D70}"/>
    <cellStyle name="Group" xfId="704" xr:uid="{BA5CF229-07C7-4BAD-991C-F22BA42DE86E}"/>
    <cellStyle name="ha" xfId="705" xr:uid="{D02F8CEA-AAAB-47A7-9D12-1F817BC52745}"/>
    <cellStyle name="HEADER" xfId="706" xr:uid="{739FEC28-8BA1-4781-8377-02A594ECC632}"/>
    <cellStyle name="Header1" xfId="707" xr:uid="{25CAB6B7-311F-421F-A8C8-9C5280E7E0D3}"/>
    <cellStyle name="Header2" xfId="708" xr:uid="{787AA41B-1595-45B8-BBD5-FC5CD0206D33}"/>
    <cellStyle name="Heading 1 2" xfId="709" xr:uid="{FD14C89C-59DC-4B51-8F98-8E7D54E1C1DF}"/>
    <cellStyle name="Heading 2 2" xfId="710" xr:uid="{473804E4-7F23-401D-B123-4F170045BBFA}"/>
    <cellStyle name="Heading 3 2" xfId="711" xr:uid="{A7413A14-EAFA-4CFE-88F3-469854482C99}"/>
    <cellStyle name="Heading 4 2" xfId="712" xr:uid="{7F844262-1E41-4C6D-B725-3B7645B8C84B}"/>
    <cellStyle name="Heading1" xfId="713" xr:uid="{26621DCD-51A3-4257-8D4D-7429300882A3}"/>
    <cellStyle name="Heading2" xfId="714" xr:uid="{2B226849-1909-4C94-95B7-AE54A44C3574}"/>
    <cellStyle name="HUY" xfId="715" xr:uid="{BA11427E-6B93-4886-BD76-21A8D004D036}"/>
    <cellStyle name="Hyperlink 2" xfId="5" xr:uid="{00000000-0005-0000-0000-000001000000}"/>
    <cellStyle name="Hyperlink 3" xfId="1344" xr:uid="{3383C446-1AA1-4F58-826B-905CCAED257B}"/>
    <cellStyle name="i phÝ kh¸c_B¶ng 2" xfId="716" xr:uid="{F7032BB8-75FA-4BD3-9C15-2CC2B22C4559}"/>
    <cellStyle name="I.3" xfId="717" xr:uid="{E590DED6-7D80-4D4C-8788-8CD27FC8DD65}"/>
    <cellStyle name="i·0" xfId="718" xr:uid="{FF122825-F0B9-4FCD-8541-CA38D182564B}"/>
    <cellStyle name="ï-¾È»ê_BiÓu TB" xfId="719" xr:uid="{E9C01586-E187-4975-B0A0-376B51122E07}"/>
    <cellStyle name="Input [yellow]" xfId="720" xr:uid="{6609407B-5AA1-432F-9B0A-09DDEA41E3C9}"/>
    <cellStyle name="Input 2" xfId="721" xr:uid="{08B26757-30BB-4E7F-8127-2B1F33B49112}"/>
    <cellStyle name="Input 3" xfId="722" xr:uid="{6213A6B4-5842-47F8-813E-27DB0F8FF30A}"/>
    <cellStyle name="Input Cells" xfId="723" xr:uid="{C83A7AC5-2245-48CC-B3C7-3CC28B38E0F6}"/>
    <cellStyle name="kh¸c_Bang Chi tieu" xfId="724" xr:uid="{E0901D56-4729-426F-937A-C2C1E25A09EC}"/>
    <cellStyle name="khanh" xfId="725" xr:uid="{5561F506-27A3-4934-A866-F9E8209F2983}"/>
    <cellStyle name="Ledger 17 x 11 in" xfId="726" xr:uid="{32AE9F9E-75FB-4E91-AF6D-6D5FC905ABBB}"/>
    <cellStyle name="linh" xfId="734" xr:uid="{75A78843-EF91-40EE-A413-0F3A349D2CE6}"/>
    <cellStyle name="Link Currency (0)" xfId="727" xr:uid="{63944A4F-1041-44B1-8BE1-BF3DDDC25EC9}"/>
    <cellStyle name="Link Currency (2)" xfId="728" xr:uid="{C8A3AD6C-B9B8-4943-AF52-06F9095D559F}"/>
    <cellStyle name="Link Units (0)" xfId="729" xr:uid="{D8756A3A-48CF-4A2C-B3C5-D40E1D2BF2FB}"/>
    <cellStyle name="Link Units (1)" xfId="730" xr:uid="{AEAC133E-E302-4016-80C6-22247E28AE21}"/>
    <cellStyle name="Link Units (2)" xfId="731" xr:uid="{FDA04EBB-51F3-4037-BA26-D869FD1F67F1}"/>
    <cellStyle name="Linked Cell 2" xfId="732" xr:uid="{9A862BB4-6A4F-48B4-B4E9-9C708EDE4984}"/>
    <cellStyle name="Linked Cells" xfId="733" xr:uid="{09257E93-674F-455B-93C4-D52BF6C92F3B}"/>
    <cellStyle name="Millares [0]_Well Timing" xfId="735" xr:uid="{BEA3FC26-948E-4447-B130-B59895FA758D}"/>
    <cellStyle name="Millares_Well Timing" xfId="736" xr:uid="{C5ABEDF3-71D4-4221-BF56-BEC110CDBE7D}"/>
    <cellStyle name="Milliers [0]_!!!GO" xfId="737" xr:uid="{59383BB4-1B8A-46FC-85F6-A7100E6881CE}"/>
    <cellStyle name="Milliers_!!!GO" xfId="738" xr:uid="{4FDF67EA-AF03-4AE6-8B79-EC0915BF0E80}"/>
    <cellStyle name="Model" xfId="739" xr:uid="{A9C748CB-B527-42BA-8D52-2E3F65CCAB40}"/>
    <cellStyle name="Mon?aire [0]_!!!GO" xfId="740" xr:uid="{73663B93-7834-4AAD-8ACA-E6D8E2F5D5D5}"/>
    <cellStyle name="Mon?aire_!!!GO" xfId="741" xr:uid="{B1387CCF-D564-4AA5-A56B-F4A77B47DAF6}"/>
    <cellStyle name="Moneda [0]_Well Timing" xfId="742" xr:uid="{9C448971-9AA2-4F0B-A9D2-DEF271DEBD61}"/>
    <cellStyle name="Moneda_Well Timing" xfId="743" xr:uid="{5E82ED0D-EB96-4089-B7CB-940DD6285A3C}"/>
    <cellStyle name="Monétaire [0]_TARIFFS DB" xfId="744" xr:uid="{3E84419D-D68F-4719-850E-C72CAB2EC29D}"/>
    <cellStyle name="Monétaire_TARIFFS DB" xfId="745" xr:uid="{48EDA08A-19A9-4770-B13E-F38BFF49A144}"/>
    <cellStyle name="n" xfId="746" xr:uid="{F22E3109-8707-4245-8C61-2DA3A042C90E}"/>
    <cellStyle name="n_CROWN WELL 冠威報價單20071015" xfId="747" xr:uid="{2EE23A5C-09FC-43EA-B299-9C08D62933C4}"/>
    <cellStyle name="Neutral 2" xfId="748" xr:uid="{F160A84D-1C42-480E-9AEA-B84516096D28}"/>
    <cellStyle name="New Times Roman" xfId="749" xr:uid="{BE89E998-719C-442E-BB87-2795FCB1032C}"/>
    <cellStyle name="no dec" xfId="750" xr:uid="{D4DA52C9-7AED-4A04-9815-1112ED139006}"/>
    <cellStyle name="Non défini" xfId="751" xr:uid="{8761080B-C3D8-4D0C-AAB5-917DF0100339}"/>
    <cellStyle name="ÑONVÒ" xfId="752" xr:uid="{A078BB71-DEFB-4E58-B156-1CC290C1408C}"/>
    <cellStyle name="Normal" xfId="0" builtinId="0"/>
    <cellStyle name="Normal - Style1" xfId="753" xr:uid="{1E55A079-52B9-4D9A-81EB-455D3E0BDD96}"/>
    <cellStyle name="Normal - Style2" xfId="754" xr:uid="{3F1CC6E4-56F2-4C28-8F11-EAA8782FE5BF}"/>
    <cellStyle name="Normal - Style3" xfId="755" xr:uid="{4C605066-5B9F-49B7-A181-CED30907CFA8}"/>
    <cellStyle name="Normal - Style4" xfId="756" xr:uid="{B4BA0206-F0A0-4F41-AAE7-F19953E66B3D}"/>
    <cellStyle name="Normal - Style5" xfId="757" xr:uid="{A4C5727E-5238-4CCD-9372-30E2DBCB6092}"/>
    <cellStyle name="Normal - Style6" xfId="758" xr:uid="{040E387F-E522-478A-B9A5-C1305964C4ED}"/>
    <cellStyle name="Normal - Style7" xfId="759" xr:uid="{2402BEBB-4E84-4B19-A645-48825F560A84}"/>
    <cellStyle name="Normal - Style8" xfId="760" xr:uid="{43567F29-012B-4CD2-82C4-BFEE9DB8A779}"/>
    <cellStyle name="Normal - 유형1" xfId="761" xr:uid="{BC7084D1-9B93-4124-A57D-619ADE8F2191}"/>
    <cellStyle name="Normal 10" xfId="762" xr:uid="{6C42DD2F-AAC2-45AD-A8F6-EB7E255CEC5E}"/>
    <cellStyle name="Normal 10 2" xfId="1326" xr:uid="{92730138-4A96-4D66-8A97-9941CEF7604E}"/>
    <cellStyle name="Normal 10 2 2 2" xfId="1350" xr:uid="{4A49E31C-FF13-4358-A78F-F3BD5C6EF61C}"/>
    <cellStyle name="Normal 11" xfId="1266" xr:uid="{1D43EAF0-6FA1-4C58-8B29-22A5612CC28C}"/>
    <cellStyle name="Normal 11 2" xfId="1306" xr:uid="{478B2159-9AEB-4C42-B2E9-D3685073BBD2}"/>
    <cellStyle name="Normal 11 3 2" xfId="1368" xr:uid="{27BE1A5E-B420-4D65-B796-29F288BC4517}"/>
    <cellStyle name="Normal 12" xfId="763" xr:uid="{BC33785F-6CCE-4557-AD72-F86EF60A552C}"/>
    <cellStyle name="Normal 13" xfId="764" xr:uid="{8C870FB5-C303-41FB-AEB7-D618AE356BE7}"/>
    <cellStyle name="Normal 14" xfId="765" xr:uid="{22EE75E9-6450-4AA7-8367-42E6A418DC3E}"/>
    <cellStyle name="Normal 15" xfId="766" xr:uid="{90AC6F85-FA18-443F-8D1A-1A6C386CF67E}"/>
    <cellStyle name="Normal 16" xfId="1268" xr:uid="{A7A8E262-911D-4CEF-BD15-0BF358DA2532}"/>
    <cellStyle name="Normal 17" xfId="1330" xr:uid="{F292556B-70A1-4A7B-85DC-5DA365AB4CD4}"/>
    <cellStyle name="Normal 18" xfId="1332" xr:uid="{4D204DFC-9A9A-4C25-82D5-734285D4F62E}"/>
    <cellStyle name="Normal 19" xfId="1334" xr:uid="{DB13C0CF-2579-466D-8E37-618A13056D52}"/>
    <cellStyle name="Normal 2" xfId="6" xr:uid="{00000000-0005-0000-0000-000003000000}"/>
    <cellStyle name="Normal 2 10 10" xfId="1345" xr:uid="{74859511-68F9-47AF-85D7-5C0D3A8DC0C7}"/>
    <cellStyle name="Normal 2 2" xfId="7" xr:uid="{00000000-0005-0000-0000-000004000000}"/>
    <cellStyle name="Normal 2 3" xfId="768" xr:uid="{E672CAB4-028A-4927-BDFA-C86D6D711EDD}"/>
    <cellStyle name="Normal 2 3 2" xfId="1320" xr:uid="{476C52CE-EF6C-40B5-8B96-B9D1AAAD21F6}"/>
    <cellStyle name="Normal 2 3 3" xfId="1292" xr:uid="{F70D113A-15C6-454F-AFBC-E7DC5948991F}"/>
    <cellStyle name="Normal 2 39 2" xfId="1375" xr:uid="{B5345380-78A3-4556-A38A-47333AA51F77}"/>
    <cellStyle name="Normal 2 4" xfId="1323" xr:uid="{EA781E35-A46F-47FD-851A-360C9A80B6AC}"/>
    <cellStyle name="Normal 2 5" xfId="1353" xr:uid="{5FB16781-C520-43F0-85C0-2FA4958B107B}"/>
    <cellStyle name="Normal 2 6" xfId="767" xr:uid="{D68EFECC-5441-47F3-90EB-E042C115CBCC}"/>
    <cellStyle name="Normal 20" xfId="769" xr:uid="{BD40FAED-65CD-4ABC-9D2B-E228FDF379D4}"/>
    <cellStyle name="Normal 21" xfId="770" xr:uid="{E2D86519-F997-4B2E-B6C5-4B24F5B0A2B4}"/>
    <cellStyle name="Normal 22" xfId="1348" xr:uid="{6A63094F-9343-416C-8E97-5D56817846B2}"/>
    <cellStyle name="Normal 23" xfId="1347" xr:uid="{51799A37-E2AB-4EDF-8EA2-AF9E7CD44E3A}"/>
    <cellStyle name="Normal 24" xfId="1360" xr:uid="{7BFE2285-C2BA-4611-8D70-48F1B77ADBC1}"/>
    <cellStyle name="Normal 24 2" xfId="1373" xr:uid="{64CCE3F5-83E9-430D-ADCE-25E2B4442377}"/>
    <cellStyle name="Normal 25" xfId="1356" xr:uid="{066CB629-FF16-4D60-8EBD-30F20E4E0860}"/>
    <cellStyle name="Normal 26" xfId="1377" xr:uid="{BB1FD93C-3FC6-4385-864B-EC6F04E7BF77}"/>
    <cellStyle name="Normal 27" xfId="1384" xr:uid="{AD2B879C-33D0-47BF-B48A-807C17CAAF7E}"/>
    <cellStyle name="Normal 28" xfId="1379" xr:uid="{3A6F12EF-3EC0-4DBF-9FB6-B66B182F7805}"/>
    <cellStyle name="Normal 29" xfId="1383" xr:uid="{44876879-BF95-4A44-B68F-3E881DB44E0F}"/>
    <cellStyle name="Normal 29 7" xfId="1358" xr:uid="{E6923127-5B4B-4654-8D99-783143A605E8}"/>
    <cellStyle name="Normal 3" xfId="8" xr:uid="{00000000-0005-0000-0000-000005000000}"/>
    <cellStyle name="Normal 3 2" xfId="37" xr:uid="{B352EFA6-C075-48E4-8487-90B77EB17CC4}"/>
    <cellStyle name="Normal 3 3" xfId="771" xr:uid="{47C048A9-DF42-4309-A179-27BABBCC9A67}"/>
    <cellStyle name="Normal 3 4" xfId="772" xr:uid="{D9764674-6C44-4FA9-8A8F-06423F060B96}"/>
    <cellStyle name="Normal 3 5" xfId="1271" xr:uid="{6634A7E3-3E9D-4EC4-956A-8F0ECFEE5563}"/>
    <cellStyle name="Normal 3 6" xfId="30" xr:uid="{00000000-0005-0000-0000-000005000000}"/>
    <cellStyle name="Normal 30" xfId="1380" xr:uid="{5BDBAB4B-08D3-45AB-BC11-C520E6943BE0}"/>
    <cellStyle name="Normal 31" xfId="1382" xr:uid="{6C069F62-4174-481C-8304-324C7B7C832D}"/>
    <cellStyle name="Normal 32" xfId="1378" xr:uid="{309A82B4-E6D2-43F7-B744-9A8EFA56AEDE}"/>
    <cellStyle name="Normal 33" xfId="1381" xr:uid="{0BBB927E-AFC1-4719-88DE-3D7EE8D83B5A}"/>
    <cellStyle name="Normal 34" xfId="46" xr:uid="{DA6AEC64-7FF8-4741-8206-A549CF8E6939}"/>
    <cellStyle name="Normal 35" xfId="29" xr:uid="{00000000-0005-0000-0000-000038030000}"/>
    <cellStyle name="Normal 36" xfId="4" xr:uid="{00000000-0005-0000-0000-00003B030000}"/>
    <cellStyle name="Normal 38" xfId="1284" xr:uid="{704E983D-6180-441C-A41E-3F6580020FFD}"/>
    <cellStyle name="Normal 38 2" xfId="1314" xr:uid="{86FC169A-971D-48F7-9DC6-D72ACDEA77D2}"/>
    <cellStyle name="Normal 4" xfId="11" xr:uid="{EA62C615-0131-4E01-AA5B-8DF78C50C727}"/>
    <cellStyle name="Normal 4 2" xfId="774" xr:uid="{285C2BB3-C9C7-4078-8D17-C1A283566519}"/>
    <cellStyle name="Normal 4 2 2" xfId="1322" xr:uid="{B233F2F2-8DDE-4766-BE0A-CFD5F39470EB}"/>
    <cellStyle name="Normal 4 2 2 2" xfId="1355" xr:uid="{324EBFD4-50E0-4C35-9381-72E39269C985}"/>
    <cellStyle name="Normal 4 2 3" xfId="1305" xr:uid="{ED2791B5-F4BD-4BB0-A91C-7ECF4A59D75A}"/>
    <cellStyle name="Normal 4 3" xfId="1263" xr:uid="{9C265FE1-223B-4D20-BF95-53884B59750F}"/>
    <cellStyle name="Normal 4 4" xfId="1275" xr:uid="{01BC133B-9C2D-41BA-858D-270B589AFD36}"/>
    <cellStyle name="Normal 4 5" xfId="773" xr:uid="{106587CB-BD23-4D10-BB2A-BEB08A750BF8}"/>
    <cellStyle name="Normal 4 6" xfId="25" xr:uid="{25BB21D5-0C32-4CA8-8603-4F2E817371C7}"/>
    <cellStyle name="Normal 49" xfId="1313" xr:uid="{222E9B6E-0369-4F89-90EF-B6DA1FE195A9}"/>
    <cellStyle name="Normal 5" xfId="14" xr:uid="{09C8AC6C-093F-4CE7-BEAC-C049E727C698}"/>
    <cellStyle name="Normal 5 2" xfId="776" xr:uid="{9C6E9124-386E-4C81-B8C4-09B9862C9FC3}"/>
    <cellStyle name="Normal 5 2 2 2 2" xfId="1346" xr:uid="{7EF703A0-4EFB-4758-89CC-99EFB1362DC4}"/>
    <cellStyle name="Normal 5 3" xfId="1279" xr:uid="{41470DA3-A0BE-484C-80F0-4005BF18A2EF}"/>
    <cellStyle name="Normal 5 4" xfId="775" xr:uid="{CBEEB247-240F-4A35-95E3-32BDF9335E04}"/>
    <cellStyle name="Normal 5 5" xfId="22" xr:uid="{4DB6B8A4-BC16-4317-8185-EACC85EE7BE4}"/>
    <cellStyle name="Normal 6" xfId="17" xr:uid="{0B697CCB-36AA-408B-9694-BEC15A58FDDA}"/>
    <cellStyle name="Normal 6 2" xfId="1317" xr:uid="{A3101155-F634-4CD8-AECF-A4C744F4A752}"/>
    <cellStyle name="Normal 6 3" xfId="777" xr:uid="{4D416934-F6F2-4049-A16D-D2828F699434}"/>
    <cellStyle name="Normal 6 4" xfId="35" xr:uid="{0A54050E-3293-4C0D-BA4E-3088F4FA1A2A}"/>
    <cellStyle name="Normal 7" xfId="42" xr:uid="{998D4D8D-C37E-4168-AC92-B584F674936B}"/>
    <cellStyle name="Normal 7 2" xfId="1289" xr:uid="{6F65DF4C-7356-4954-9766-78A54F11A5A7}"/>
    <cellStyle name="Normal 7 3" xfId="778" xr:uid="{EE676D0B-510D-4D14-B727-3C13CE5090C3}"/>
    <cellStyle name="Normal 8" xfId="44" xr:uid="{0712306C-1370-4C43-A19C-7B11037EA711}"/>
    <cellStyle name="Normal 8 2" xfId="1283" xr:uid="{BF732B26-7687-4CDC-BD5E-D952705E9714}"/>
    <cellStyle name="Normal 8 3" xfId="779" xr:uid="{AA06C144-11E5-4AC3-9DD3-39C2E329CAED}"/>
    <cellStyle name="Normal 9" xfId="3" xr:uid="{00000000-0005-0000-0000-000002000000}"/>
    <cellStyle name="Normal 9 2" xfId="1259" xr:uid="{FB96F8D6-ACDD-4244-BFFE-9B012FB83C44}"/>
    <cellStyle name="Normal 9 3" xfId="1316" xr:uid="{E580F104-D9A5-496D-B554-BA21BD0FCD1F}"/>
    <cellStyle name="Normal EN" xfId="1278" xr:uid="{A7A2BD59-4E25-4582-858B-B1890DB945AD}"/>
    <cellStyle name="Normal VN" xfId="1276" xr:uid="{F3CDCAE4-C08E-46FD-8248-DC0903A47D43}"/>
    <cellStyle name="Normal1" xfId="780" xr:uid="{5AE58583-90B4-4AFD-A61C-DE8F9D00C74F}"/>
    <cellStyle name="Normalny_Cennik obowiazuje od 06-08-2001 r (1)" xfId="781" xr:uid="{455DCA46-E8CC-4869-BD81-29CA712C2283}"/>
    <cellStyle name="Note 2" xfId="782" xr:uid="{71AC1EC5-2D25-49FD-8594-D6A391D553D4}"/>
    <cellStyle name="NWM" xfId="783" xr:uid="{A0939F5D-2CB8-4BA6-A526-DE27E483B6F5}"/>
    <cellStyle name="omma [0]_Mktg Prog" xfId="784" xr:uid="{9DC4D16A-AEDA-4C02-9D90-7CD31F4861A2}"/>
    <cellStyle name="ormal_Sheet1_1" xfId="785" xr:uid="{27E5A9C1-19E1-4475-87BE-1CDE2981965B}"/>
    <cellStyle name="Output 2" xfId="786" xr:uid="{2B42A7C0-1E0F-426C-85F0-AD883D114A88}"/>
    <cellStyle name="per.style" xfId="787" xr:uid="{58E31A21-1422-4001-820D-F2F07EC31034}"/>
    <cellStyle name="Percent" xfId="2" builtinId="5"/>
    <cellStyle name="Percent [0]" xfId="788" xr:uid="{708D23C7-A10D-4324-AA50-DBF96DB38819}"/>
    <cellStyle name="Percent [00]" xfId="789" xr:uid="{7B7AC534-5673-454E-A7AC-9AE562F41DE3}"/>
    <cellStyle name="Percent [2]" xfId="790" xr:uid="{6A984AB6-CC58-48CB-BEF5-EC265E45FAC6}"/>
    <cellStyle name="Percent 10" xfId="1280" xr:uid="{17D2445E-3EB4-4BDB-8A7B-2DC8A5DD23BD}"/>
    <cellStyle name="Percent 11" xfId="1335" xr:uid="{F74B39D5-1BCA-4C3D-8E4B-28870745F87F}"/>
    <cellStyle name="Percent 12" xfId="1351" xr:uid="{42AC0375-CEE6-46C6-A4CD-7071BCFD203D}"/>
    <cellStyle name="Percent 13" xfId="1352" xr:uid="{F50A52AD-666E-4520-A78D-F30D67022174}"/>
    <cellStyle name="Percent 14" xfId="1342" xr:uid="{B9153C67-2B71-4357-ADE2-A38FA30555E9}"/>
    <cellStyle name="Percent 15" xfId="1341" xr:uid="{177A9638-1F63-4FBA-A96D-ECFC3D88A10F}"/>
    <cellStyle name="Percent 16" xfId="1372" xr:uid="{B7D7F548-A896-4415-B69A-55034992FA70}"/>
    <cellStyle name="Percent 17" xfId="1385" xr:uid="{F1619161-4193-4827-92AE-EA5B4A3105BF}"/>
    <cellStyle name="Percent 18" xfId="1386" xr:uid="{F1D07A41-DC4E-4471-8CEE-88919776DE2D}"/>
    <cellStyle name="Percent 19" xfId="1387" xr:uid="{A3CF9075-77DD-46F8-8D65-880B63F14B7C}"/>
    <cellStyle name="Percent 2" xfId="13" xr:uid="{D7C5131F-064E-4F13-8F1C-D9D6466BD500}"/>
    <cellStyle name="Percent 2 2" xfId="39" xr:uid="{C344D013-C7EE-4B67-8EA3-0C3EF295CA4E}"/>
    <cellStyle name="Percent 2 2 2" xfId="791" xr:uid="{B8CAA339-943F-40C7-8690-FD3F8F0BE9A2}"/>
    <cellStyle name="Percent 2 3" xfId="1376" xr:uid="{AAF83DE6-3871-4337-89F5-2A339CD4F64B}"/>
    <cellStyle name="Percent 2 3 2" xfId="1307" xr:uid="{ED1BC341-6511-4C5F-BC17-250BCD7B65D4}"/>
    <cellStyle name="Percent 2 4" xfId="1290" xr:uid="{1E403D63-4165-4274-82A1-79F689316217}"/>
    <cellStyle name="Percent 2 4 2" xfId="1311" xr:uid="{A9E45A3A-1E0A-4F8C-BB4C-B2CBAE22C2E3}"/>
    <cellStyle name="Percent 2 5" xfId="21" xr:uid="{E1FB1656-3B91-4293-AE6C-BC9644850C66}"/>
    <cellStyle name="Percent 20" xfId="1388" xr:uid="{85239697-0294-4ECA-A857-9D9923B4A320}"/>
    <cellStyle name="Percent 21" xfId="1389" xr:uid="{18BB227B-AB11-4766-88D3-1B8486E15825}"/>
    <cellStyle name="Percent 22" xfId="1390" xr:uid="{92168F6D-8198-4AB2-9A9C-4178CD09826B}"/>
    <cellStyle name="Percent 23" xfId="1391" xr:uid="{D62DDDDC-B747-4636-9E95-D86D265E66D7}"/>
    <cellStyle name="Percent 24" xfId="1392" xr:uid="{EF570E28-34DC-41F8-AEF4-B6F32476F82F}"/>
    <cellStyle name="Percent 25" xfId="1267" xr:uid="{6B09323F-7726-4877-902C-D0E8DCDF803B}"/>
    <cellStyle name="Percent 26" xfId="32" xr:uid="{00000000-0005-0000-0000-000093030000}"/>
    <cellStyle name="Percent 27" xfId="10" xr:uid="{00000000-0005-0000-0000-00009D030000}"/>
    <cellStyle name="Percent 3" xfId="15" xr:uid="{922917A2-516B-4EDE-A4A1-E9DB8EA2AB92}"/>
    <cellStyle name="Percent 3 2" xfId="1315" xr:uid="{1CD7071F-B6AC-49D3-953C-58C32AC3CE1A}"/>
    <cellStyle name="Percent 3 3" xfId="1365" xr:uid="{279626EE-41DA-428A-B2F5-5FA7FE0D7491}"/>
    <cellStyle name="Percent 3 4" xfId="792" xr:uid="{5DA25ABB-0D15-4915-8C4C-6D102424280F}"/>
    <cellStyle name="Percent 3 5" xfId="23" xr:uid="{5F2E76EF-53C5-4735-B87D-90A39E709ED7}"/>
    <cellStyle name="Percent 4" xfId="19" xr:uid="{1424D635-302F-4EDC-9B79-7C6956927297}"/>
    <cellStyle name="Percent 4 2" xfId="794" xr:uid="{B9E628D1-E836-458D-AC2C-C5CF42C10445}"/>
    <cellStyle name="Percent 4 3" xfId="1325" xr:uid="{AB09B4D8-8D0E-4015-B274-849FBB3C2821}"/>
    <cellStyle name="Percent 4 4" xfId="793" xr:uid="{8B224EBB-6110-442D-9F78-AC402927671B}"/>
    <cellStyle name="Percent 5" xfId="795" xr:uid="{FD3AC025-E7BE-4466-A862-E05E47744CD7}"/>
    <cellStyle name="Percent 5 2" xfId="1329" xr:uid="{D66D7293-517E-4045-B9D3-F527E162096A}"/>
    <cellStyle name="Percent 5 3 2 2" xfId="1343" xr:uid="{6C54FF99-7A0E-4AED-B99C-83F3205B6EBD}"/>
    <cellStyle name="Percent 6" xfId="796" xr:uid="{FD3E04B7-0D6C-4D47-8FA8-1B3F3B8AA355}"/>
    <cellStyle name="Percent 7" xfId="797" xr:uid="{7F5BFDB6-A7FE-4C0D-950F-7D9A5F0C7AF0}"/>
    <cellStyle name="Percent 8" xfId="1261" xr:uid="{937C1F85-FAB4-4EDD-A770-D99A7E933BF8}"/>
    <cellStyle name="Percent 9" xfId="1264" xr:uid="{094E6FAF-2E06-4164-830E-F6CEF59FC1B3}"/>
    <cellStyle name="PERCENTAGE" xfId="798" xr:uid="{D15F3BF3-0747-425A-A8D6-1A58C1158DA6}"/>
    <cellStyle name="PrePop Currency (0)" xfId="799" xr:uid="{2AFAE6DB-D980-4038-8107-CD6D42D6BCDB}"/>
    <cellStyle name="PrePop Currency (2)" xfId="800" xr:uid="{95ACB8A2-D074-4B7D-BDC3-B5CE153C9F63}"/>
    <cellStyle name="PrePop Units (0)" xfId="801" xr:uid="{56E89708-58A5-4916-A456-ACA16DC38341}"/>
    <cellStyle name="PrePop Units (1)" xfId="802" xr:uid="{C7D0C1DF-9F5A-4487-B7E8-131E155632E1}"/>
    <cellStyle name="PrePop Units (2)" xfId="803" xr:uid="{EA22B9B7-277E-4BDD-8933-BDB6404E4F51}"/>
    <cellStyle name="pricing" xfId="804" xr:uid="{CA859EEC-E5C6-483D-A1DC-1FCA494E4821}"/>
    <cellStyle name="PSChar" xfId="805" xr:uid="{434DCF04-7E9A-4574-AF11-8871B2C5D3F5}"/>
    <cellStyle name="RevList" xfId="806" xr:uid="{FE6CECA1-51D2-499E-9B1E-6CFB79E6A138}"/>
    <cellStyle name="RowLevel_1 2" xfId="1369" xr:uid="{BC2F278D-08E4-4851-B9DD-F745303D2AC7}"/>
    <cellStyle name="S—_x0008_" xfId="807" xr:uid="{B8B095E7-4206-4B71-84C8-2D8A1E517FF6}"/>
    <cellStyle name="s1" xfId="808" xr:uid="{8896B02D-2659-42FF-B394-17A0E0211EE4}"/>
    <cellStyle name="SAPBEXaggData" xfId="809" xr:uid="{804485DC-C1BD-4DB1-8C9A-C3140FE70FC5}"/>
    <cellStyle name="SAPBEXaggDataEmph" xfId="810" xr:uid="{A1BE348D-9012-4506-8283-438A6CD3494A}"/>
    <cellStyle name="SAPBEXaggItem" xfId="811" xr:uid="{87B032AF-9DA3-49F7-9934-51B8378D6D28}"/>
    <cellStyle name="SAPBEXchaText" xfId="812" xr:uid="{5BD8C470-7458-4F8A-B931-04E30093AC25}"/>
    <cellStyle name="SAPBEXexcBad7" xfId="813" xr:uid="{D535CBDB-1E35-40EB-AEB1-5FA269EB2C3B}"/>
    <cellStyle name="SAPBEXexcBad8" xfId="814" xr:uid="{1B224E4B-B888-4DE8-A9D4-796A696D87EE}"/>
    <cellStyle name="SAPBEXexcBad9" xfId="815" xr:uid="{186FE3D0-B1D9-4D67-89E2-4211E1C20DBC}"/>
    <cellStyle name="SAPBEXexcCritical4" xfId="816" xr:uid="{06646563-DB23-4C63-8052-CCBE2247BE9D}"/>
    <cellStyle name="SAPBEXexcCritical5" xfId="817" xr:uid="{E5395AA7-38A6-4DF9-8F0A-46A007BB2C42}"/>
    <cellStyle name="SAPBEXexcCritical6" xfId="818" xr:uid="{4B2288B3-F112-49D4-B18A-CB5FDABC898E}"/>
    <cellStyle name="SAPBEXexcGood1" xfId="819" xr:uid="{25CD05BD-C4B2-4F5A-AD9B-E2634F974164}"/>
    <cellStyle name="SAPBEXexcGood2" xfId="820" xr:uid="{835AF236-43B6-4E90-8DD8-343CE45D5E4C}"/>
    <cellStyle name="SAPBEXexcGood3" xfId="821" xr:uid="{CAA74EBC-D775-498E-8C2A-B34735EEF1B7}"/>
    <cellStyle name="SAPBEXfilterDrill" xfId="822" xr:uid="{8C8222F3-04EF-4E9F-AF65-1D1A33A7F275}"/>
    <cellStyle name="SAPBEXfilterItem" xfId="823" xr:uid="{25AF99AC-18F5-4668-BA8B-5766EAA6AE53}"/>
    <cellStyle name="SAPBEXfilterText" xfId="824" xr:uid="{A6116400-801A-4538-99BF-31F8FB74F36E}"/>
    <cellStyle name="SAPBEXformats" xfId="825" xr:uid="{A684949F-6DAF-4C3E-954D-00265C1AB4E4}"/>
    <cellStyle name="SAPBEXheaderItem" xfId="826" xr:uid="{F8078E85-974B-4659-A5B3-95F8240C088D}"/>
    <cellStyle name="SAPBEXheaderText" xfId="827" xr:uid="{CD27A24B-1373-4706-B976-1D76E04E43B1}"/>
    <cellStyle name="SAPBEXresData" xfId="828" xr:uid="{91DC3514-86F2-4604-9228-DB6771850FF7}"/>
    <cellStyle name="SAPBEXresDataEmph" xfId="829" xr:uid="{DC27F199-3EDB-4DC5-8006-A7D2D03A25EA}"/>
    <cellStyle name="SAPBEXresItem" xfId="830" xr:uid="{07894F6D-59BF-496A-8604-947A891FDF86}"/>
    <cellStyle name="SAPBEXstdData" xfId="831" xr:uid="{7F2AC3AC-0DDC-4547-9176-C1EB76C84706}"/>
    <cellStyle name="SAPBEXstdDataEmph" xfId="832" xr:uid="{082024C2-67E5-4147-820E-61F1878DD2F5}"/>
    <cellStyle name="SAPBEXstdItem" xfId="833" xr:uid="{F5896F58-06CB-473B-BF74-D5D7F27B240A}"/>
    <cellStyle name="SAPBEXtitle" xfId="834" xr:uid="{40F2E8F3-580D-4B88-B468-8DF2DABFAC70}"/>
    <cellStyle name="SAPBEXundefined" xfId="835" xr:uid="{9762DCB8-AE6F-4140-9081-0C5E3F81CAE4}"/>
    <cellStyle name="Siêu nối kết_ÿÿÿÿÿ" xfId="836" xr:uid="{10F20017-30D3-44F4-A89A-9300BE219838}"/>
    <cellStyle name="Standard_AAbgleich" xfId="837" xr:uid="{5E61BA27-9600-464B-BE2F-F94257B24B26}"/>
    <cellStyle name="Style 1" xfId="838" xr:uid="{F20D37FD-BA2E-4F18-A00B-D0CD8BAFD21F}"/>
    <cellStyle name="Style 1 2" xfId="1273" xr:uid="{80D2D390-6052-4F51-9471-BD7DB8595B24}"/>
    <cellStyle name="Style 10" xfId="839" xr:uid="{1414378C-DF32-49CE-A437-58B290B61DD3}"/>
    <cellStyle name="Style 11" xfId="840" xr:uid="{BB371966-0D30-4737-A7F6-2A4A96D84C41}"/>
    <cellStyle name="Style 12" xfId="841" xr:uid="{568EE4F6-AAF8-4329-9357-2E9B57B29759}"/>
    <cellStyle name="Style 13" xfId="842" xr:uid="{7F1DEA63-FA3C-41AA-B56C-5FB65C1271E2}"/>
    <cellStyle name="Style 14" xfId="843" xr:uid="{F7225004-A53A-412D-970A-DA9DFDD9F98B}"/>
    <cellStyle name="Style 15" xfId="844" xr:uid="{3216523E-FB46-4D84-AAE7-9BAF106130F4}"/>
    <cellStyle name="Style 16" xfId="845" xr:uid="{55A60FDB-E801-4A28-BC2D-C329FA5083C3}"/>
    <cellStyle name="Style 17" xfId="846" xr:uid="{6B279CED-88CB-46C1-9196-2AF0475CD0DA}"/>
    <cellStyle name="Style 18" xfId="847" xr:uid="{DBD49C43-6A8C-4044-9F72-631AAEAEBCAB}"/>
    <cellStyle name="Style 19" xfId="848" xr:uid="{9ACE13DD-FF7F-452D-AA6B-79FB8BA2B4CD}"/>
    <cellStyle name="Style 2" xfId="849" xr:uid="{E7DCC01A-B1C7-4559-AE42-E980682D13D2}"/>
    <cellStyle name="Style 20" xfId="850" xr:uid="{856E073A-ACB2-43DA-9BBF-7C390B6CA1E8}"/>
    <cellStyle name="Style 21" xfId="851" xr:uid="{BD722250-0458-4620-AE51-7EC3154CC6F5}"/>
    <cellStyle name="Style 22" xfId="852" xr:uid="{16DBE115-1257-4862-98F7-A943B4C4C128}"/>
    <cellStyle name="Style 23" xfId="853" xr:uid="{631BEE4C-B99E-4F3A-951D-588FC9A26406}"/>
    <cellStyle name="Style 24" xfId="854" xr:uid="{37B039BD-219E-46EE-8256-910FF7B71CD1}"/>
    <cellStyle name="Style 25" xfId="855" xr:uid="{E7260A29-3543-4B7F-9BE1-E2CB24235DFF}"/>
    <cellStyle name="Style 26" xfId="856" xr:uid="{036C0D1D-41ED-4A57-A073-B1967EF239C4}"/>
    <cellStyle name="Style 27" xfId="857" xr:uid="{D79B6377-8A86-4B48-8F33-FFD2A1133AE8}"/>
    <cellStyle name="Style 28" xfId="858" xr:uid="{F9176363-0EE5-41ED-AABA-E9E838AFC12E}"/>
    <cellStyle name="Style 29" xfId="859" xr:uid="{464C786C-EEC3-4D45-A903-8B3F3F687192}"/>
    <cellStyle name="Style 3" xfId="860" xr:uid="{B9473B4F-1406-4007-841E-FE724B331BC8}"/>
    <cellStyle name="Style 30" xfId="861" xr:uid="{8160A300-A0F8-4F82-BBF0-0B0391778FC4}"/>
    <cellStyle name="Style 31" xfId="862" xr:uid="{799D88BD-F3CA-42FC-9BC8-453DDB2E2A25}"/>
    <cellStyle name="Style 32" xfId="863" xr:uid="{CD06034E-6529-4885-99AD-517F710DBE1A}"/>
    <cellStyle name="Style 33" xfId="864" xr:uid="{2ABEBFA9-AE75-4012-A0D4-8FD35355782A}"/>
    <cellStyle name="Style 34" xfId="865" xr:uid="{9D380019-B9E2-4316-9E39-9F7AEE60EA9F}"/>
    <cellStyle name="Style 35" xfId="866" xr:uid="{0A97505B-4560-4B5A-BB37-F179B6AEE307}"/>
    <cellStyle name="Style 36" xfId="867" xr:uid="{6A1FC3C8-9B35-42A9-BF0E-6D358EF85A25}"/>
    <cellStyle name="Style 37" xfId="868" xr:uid="{894DDCE6-0861-4E01-BF9A-9117DE656E15}"/>
    <cellStyle name="Style 38" xfId="869" xr:uid="{03CFE5D6-FC62-4730-9898-DFE991362542}"/>
    <cellStyle name="Style 39" xfId="870" xr:uid="{5AE5D884-FE94-4A3B-92D6-A693F0FB08DD}"/>
    <cellStyle name="Style 4" xfId="871" xr:uid="{C9250B75-7616-4BB6-A4C7-950A949CED7C}"/>
    <cellStyle name="Style 40" xfId="872" xr:uid="{297DC6F7-3225-40B9-8DE4-C5438E659C3C}"/>
    <cellStyle name="Style 41" xfId="873" xr:uid="{EFFAEEBE-3BC2-42A7-B1BF-D4B68289B1B0}"/>
    <cellStyle name="Style 42" xfId="874" xr:uid="{E1774C4F-D308-4982-B52B-51D4F30C6043}"/>
    <cellStyle name="Style 43" xfId="875" xr:uid="{D816FE5C-22BB-4A05-BB9D-D53675305C85}"/>
    <cellStyle name="Style 44" xfId="876" xr:uid="{76D26512-28FF-4E19-9ACA-89EC693DDD4B}"/>
    <cellStyle name="Style 45" xfId="877" xr:uid="{4382EEB0-C5E3-4E1D-95E5-823BB78BA656}"/>
    <cellStyle name="Style 46" xfId="878" xr:uid="{CE1D7167-B29C-42FB-B3DF-DDF1B41DD54A}"/>
    <cellStyle name="Style 47" xfId="879" xr:uid="{5F0204F2-1B18-41A4-A013-F3ED070C7C8D}"/>
    <cellStyle name="Style 48" xfId="880" xr:uid="{5C2CE1D3-0FCD-40A9-9B18-4798AABE3D14}"/>
    <cellStyle name="Style 49" xfId="881" xr:uid="{EB9FB6E0-16D1-4F0A-8DA5-A6E7C12A465C}"/>
    <cellStyle name="Style 5" xfId="882" xr:uid="{240C9B3E-AD18-49B7-A828-04F3C3D55C10}"/>
    <cellStyle name="Style 50" xfId="883" xr:uid="{0E321BE1-68AD-4073-9A43-1E27A04CD14F}"/>
    <cellStyle name="Style 51" xfId="884" xr:uid="{5CE2765D-740D-4E51-B129-1A0DFE923833}"/>
    <cellStyle name="Style 52" xfId="885" xr:uid="{2479DC44-D652-4CE3-84EB-F71E81AE1425}"/>
    <cellStyle name="Style 53" xfId="886" xr:uid="{5CE622D6-DE8E-4920-A9BA-44D023529871}"/>
    <cellStyle name="Style 54" xfId="887" xr:uid="{0C56E71B-5C25-4C0B-8D55-68DA3D25D9F2}"/>
    <cellStyle name="Style 55" xfId="888" xr:uid="{55E57E91-4469-49E4-A9CE-8688F99E75B7}"/>
    <cellStyle name="Style 56" xfId="889" xr:uid="{A2EAF6B4-E282-4058-B58A-C8CE74BF9684}"/>
    <cellStyle name="Style 57" xfId="890" xr:uid="{9DA82154-069F-4DF3-B4C8-61D49D7E55AC}"/>
    <cellStyle name="Style 58" xfId="891" xr:uid="{B0910BBD-43B1-4C9C-AD93-61C4A2AA7987}"/>
    <cellStyle name="Style 59" xfId="892" xr:uid="{18DAEDFE-A6F4-4811-91DB-194EFA0907D3}"/>
    <cellStyle name="Style 6" xfId="893" xr:uid="{4756656D-49D9-4EB8-8ADA-FF793810556D}"/>
    <cellStyle name="Style 60" xfId="894" xr:uid="{E8474890-FE3D-47A1-A428-69E616B538BF}"/>
    <cellStyle name="Style 61" xfId="895" xr:uid="{6C48C53C-45F3-47CE-BD67-82CCB9F9200F}"/>
    <cellStyle name="Style 62" xfId="896" xr:uid="{11572195-611B-4A44-BBB0-40556A77CB03}"/>
    <cellStyle name="Style 63" xfId="897" xr:uid="{E8BB3FFF-5A2B-4190-BBAF-BD7C30CE5A98}"/>
    <cellStyle name="Style 64" xfId="898" xr:uid="{D9AF0C20-02AB-424B-8EA7-6EDF7A179DBB}"/>
    <cellStyle name="Style 65" xfId="899" xr:uid="{CFE66170-9465-4DB7-BE95-86668F2A615C}"/>
    <cellStyle name="Style 66" xfId="900" xr:uid="{6C9D55C8-BEEA-4C84-B69C-92CF40C90E96}"/>
    <cellStyle name="Style 67" xfId="901" xr:uid="{993C4628-02B7-43BA-B574-2832C91A2359}"/>
    <cellStyle name="Style 68" xfId="902" xr:uid="{9013D518-F26E-4241-9C90-20DE8FD00B6C}"/>
    <cellStyle name="Style 69" xfId="903" xr:uid="{61BBA5AB-92CD-4188-B08A-246F8D6334FD}"/>
    <cellStyle name="Style 7" xfId="904" xr:uid="{0CF3822D-2087-4C7E-BCBC-C94B794DA876}"/>
    <cellStyle name="Style 70" xfId="905" xr:uid="{20331915-2E50-4A3B-B4BC-3B3DD8B5891B}"/>
    <cellStyle name="Style 71" xfId="906" xr:uid="{B21EABEE-76CF-4829-AFDD-8A5E31BDB266}"/>
    <cellStyle name="Style 72" xfId="907" xr:uid="{8883723F-0FB8-49B6-91DA-1820EEDB51F0}"/>
    <cellStyle name="Style 73" xfId="908" xr:uid="{647D274E-B9B1-46AC-83B1-BA0EF2A444E2}"/>
    <cellStyle name="Style 74" xfId="909" xr:uid="{EBED5B16-DF7C-41B6-9B15-9844C746E7C6}"/>
    <cellStyle name="Style 75" xfId="910" xr:uid="{4BD56A98-BAC2-4449-9829-4726E5EE85B0}"/>
    <cellStyle name="Style 76" xfId="911" xr:uid="{39B8898B-428E-46CC-BA1A-CC7489AB6B4F}"/>
    <cellStyle name="Style 77" xfId="912" xr:uid="{C256C02D-60C1-487F-B01B-02ADD8419B65}"/>
    <cellStyle name="Style 78" xfId="913" xr:uid="{45DF2D32-C6E5-475A-AD50-7EE35414D0D2}"/>
    <cellStyle name="Style 79" xfId="914" xr:uid="{FF9AECD3-E2A3-4349-AB30-E98E68ACFA11}"/>
    <cellStyle name="Style 8" xfId="915" xr:uid="{1988B242-139B-4B41-A29A-E119AB908FA2}"/>
    <cellStyle name="Style 80" xfId="916" xr:uid="{028095CE-07E5-43F7-AC9C-B3C86818E929}"/>
    <cellStyle name="Style 81" xfId="917" xr:uid="{7A7FABCF-902D-46EA-A9BD-03EE177E7244}"/>
    <cellStyle name="Style 82" xfId="918" xr:uid="{FDD8F51F-E6B8-4CF7-9182-A80ED1A843CC}"/>
    <cellStyle name="Style 83" xfId="919" xr:uid="{BA1CCB47-BD9D-44F4-A62F-645C8DBD2A55}"/>
    <cellStyle name="Style 9" xfId="920" xr:uid="{C70EEE7E-9F73-4F5A-B216-E448AD0D582F}"/>
    <cellStyle name="Style Date" xfId="921" xr:uid="{FD7075F1-DF0D-47B1-866E-1755ECE25B6C}"/>
    <cellStyle name="subhead" xfId="922" xr:uid="{960A33EE-F59B-4AFE-B015-60841F05D606}"/>
    <cellStyle name="SubTitle" xfId="923" xr:uid="{EC471672-D35C-465D-894F-9AFD97B22DC2}"/>
    <cellStyle name="SubTitle 2" xfId="1277" xr:uid="{51454C0E-372B-4D71-8177-2F97E6F853E5}"/>
    <cellStyle name="Subtotal" xfId="924" xr:uid="{4E458D4F-5FC7-4C75-946F-D6A55B5C91A6}"/>
    <cellStyle name="symbol" xfId="925" xr:uid="{8EC5F69F-2B02-4400-918E-F73F56594ADD}"/>
    <cellStyle name="T" xfId="926" xr:uid="{168953CF-6A39-42FA-BC61-F7E17115E614}"/>
    <cellStyle name="T_09_BangTongHopKinhPhiNhaso9" xfId="927" xr:uid="{9181921F-3703-48D6-8F2E-6C040579DF59}"/>
    <cellStyle name="T_09a_PhanMongNhaSo9" xfId="928" xr:uid="{48B63A92-8C2D-497B-B4B9-BB795FF5BEA6}"/>
    <cellStyle name="T_09b_PhanThannhaso9" xfId="929" xr:uid="{23DEFDB6-1A0D-4AAA-923E-5B5AA2D93C45}"/>
    <cellStyle name="T_09c_PhandienNhaso9" xfId="930" xr:uid="{12BD024A-7B08-462B-A874-ED4E14F9CE30}"/>
    <cellStyle name="T_09d_Phannuocnhaso9" xfId="931" xr:uid="{41CEDE8E-DB99-4F96-BF41-431C25A9C065}"/>
    <cellStyle name="T_09f_TienluongThannhaso9" xfId="932" xr:uid="{8DC35817-A2CE-41E4-BF31-D78C35594E82}"/>
    <cellStyle name="T_10b_PhanThanNhaSo10" xfId="933" xr:uid="{E15062B1-7646-4A60-890D-62A1DFF0941C}"/>
    <cellStyle name="T_Book1" xfId="934" xr:uid="{81297E73-540B-4447-B9D9-8D22381DE618}"/>
    <cellStyle name="T_Book1_09_BangTongHopKinhPhiNhaso9" xfId="935" xr:uid="{220318C3-2E75-425D-BC8A-7FC82A93375C}"/>
    <cellStyle name="T_Book1_09a_PhanMongNhaSo9" xfId="936" xr:uid="{B8B0B5EA-FDE3-46B4-8C68-8D56E119DC56}"/>
    <cellStyle name="T_Book1_09b_PhanThannhaso9" xfId="937" xr:uid="{FF9BBDA2-546A-4CDC-B1B0-1F64A52ED7FE}"/>
    <cellStyle name="T_Book1_09c_PhandienNhaso9" xfId="938" xr:uid="{091192C2-4E16-4502-B2D0-E653B8C6CC1A}"/>
    <cellStyle name="T_Book1_09d_Phannuocnhaso9" xfId="939" xr:uid="{536D00EA-EE5F-45A7-9B00-1F962E7010FF}"/>
    <cellStyle name="T_Book1_09f_TienluongThannhaso9" xfId="940" xr:uid="{E96E0B0B-0EDA-4E15-B1A8-D4FE9FB55489}"/>
    <cellStyle name="T_Book1_1" xfId="941" xr:uid="{CECE05AE-4BBA-4B6A-A874-83787F6D8A2C}"/>
    <cellStyle name="T_Book1_1_CPK" xfId="942" xr:uid="{B8419229-4B8F-48B5-8CC0-D34E8956476A}"/>
    <cellStyle name="T_Book1_1_CTC - BoQ Agrex Building" xfId="943" xr:uid="{3B9A0EAB-F53D-40B6-ABBC-6E91B46A2500}"/>
    <cellStyle name="T_Book1_1_Thiet bi" xfId="944" xr:uid="{9285A349-9FFA-4229-911E-6495CE4A88DE}"/>
    <cellStyle name="T_Book1_1_Thong tin chung Groz" xfId="945" xr:uid="{D4CA02E5-B8D1-4C8B-91DF-F5E8E364A2C9}"/>
    <cellStyle name="T_Book1_1_Thong tin chung Groz_08. BoQ Vinamilk My Phuoc 2 BD - Rev.00 (Tong hop XD-M&amp;E)-29.09.09" xfId="946" xr:uid="{1722300B-9EC0-4914-A2BE-897061D62CA9}"/>
    <cellStyle name="T_Book1_10b_PhanThanNhaSo10" xfId="947" xr:uid="{DCF402CD-E328-4829-B062-528D3C45CDBA}"/>
    <cellStyle name="T_Book1_2" xfId="948" xr:uid="{A1F54183-E5F0-4DB6-9227-2745928DF189}"/>
    <cellStyle name="T_Book1_Book1" xfId="949" xr:uid="{265F808A-E5C0-4318-8F01-55FCC44281D1}"/>
    <cellStyle name="T_Book1_Book2" xfId="950" xr:uid="{F75C2F74-11D0-41F9-BA08-9F88E5644475}"/>
    <cellStyle name="T_Book1_Book2_CTC - BoQ Agrex Building" xfId="951" xr:uid="{0C296EE3-0F3B-4478-B661-3DD875CCF3F9}"/>
    <cellStyle name="T_Book1_BOQ-Puma-Update (02July, 2008)" xfId="952" xr:uid="{9E7C3F04-9A54-42A0-AF77-A8EBC844FB4A}"/>
    <cellStyle name="T_Book1_Cau tao gia Nop thau Mau" xfId="953" xr:uid="{B2342439-7300-4990-BEA0-78E4D41A8B81}"/>
    <cellStyle name="T_Book1_Cau tao gia Nop thau Mau_Cau tao gia Arico T2-2009" xfId="954" xr:uid="{E441C9DD-F32D-4707-BB9E-D46395E0191B}"/>
    <cellStyle name="T_Book1_Cau tao gia Nop thau Mau_Cau tao gia Arico T2-2009_08. BoQ Vinamilk My Phuoc 2 BD - Rev.00 (Tong hop XD-M&amp;E)-29.09.09" xfId="955" xr:uid="{585E1FD0-B5E6-45E1-BD05-AC6B391BAB6F}"/>
    <cellStyle name="T_Book1_Cau tao gia Nop thau Mau_CTC - BoQ Agrex Building" xfId="956" xr:uid="{7ABB3E65-1C21-4A15-A274-AD59AB574659}"/>
    <cellStyle name="T_Book1_Cau tao gia phan Tho (ham + Than) 15-9-08" xfId="957" xr:uid="{E59BF3FA-D1B9-416D-833C-0860BC87C10D}"/>
    <cellStyle name="T_Book1_CAU TAO GIA THE OCEAN VILLAS DANANG" xfId="958" xr:uid="{6F503249-CECB-4F1B-A318-40B2FB5D709E}"/>
    <cellStyle name="T_Book1_Cau tao gia Thien Long Ha Nam (28-2-08)" xfId="959" xr:uid="{FD3101BE-B36F-4EAB-AE9D-0EB3D8149FF3}"/>
    <cellStyle name="T_Book1_Cau tao gia Thien Long Ha Nam (28-2-08)_Cau tao gia Arico T2-2009" xfId="960" xr:uid="{04EDD6AB-0C2F-44BD-AEB2-9817C303B674}"/>
    <cellStyle name="T_Book1_Cau tao gia Thien Long Ha Nam (28-2-08)_Cau tao gia Arico T2-2009_08. BoQ Vinamilk My Phuoc 2 BD - Rev.00 (Tong hop XD-M&amp;E)-29.09.09" xfId="961" xr:uid="{EFCE9BAA-2062-472E-A6AF-9096543BE086}"/>
    <cellStyle name="T_Book1_Cau tao gia Thien Long Ha Nam (28-2-08)_CTC - BoQ Agrex Building" xfId="962" xr:uid="{C4718F8A-59C8-4156-A23C-8020D6054122}"/>
    <cellStyle name="T_Book1_cong tac chuan bi Nhatrang Plaza" xfId="963" xr:uid="{B54ECF52-C13E-4952-9D17-42B1777CECBD}"/>
    <cellStyle name="T_Book1_cong tac chuan bi Nhatrang Plaza_08. BoQ Vinamilk My Phuoc 2 BD - Rev.00 (Tong hop XD-M&amp;E)-29.09.09" xfId="964" xr:uid="{2F2FC7ED-C4C6-4FE4-83EC-6695F67B31B8}"/>
    <cellStyle name="T_Book1_Cong tac chuan bi-Thanh" xfId="965" xr:uid="{D824676D-2965-407C-A3E0-271A1D3D5F26}"/>
    <cellStyle name="T_Book1_Cong tac chuan bi-Thanh_Cau tao gia Arico T2-2009" xfId="966" xr:uid="{F39F4908-6870-48BC-ABE7-62B7CB96B60F}"/>
    <cellStyle name="T_Book1_Cong tac chuan bi-Thanh_Cau tao gia Arico T2-2009_08. BoQ Vinamilk My Phuoc 2 BD - Rev.00 (Tong hop XD-M&amp;E)-29.09.09" xfId="967" xr:uid="{2AA2D521-CB76-40FB-91E3-CFE13E887498}"/>
    <cellStyle name="T_Book1_Cong tac chuan bi-Thanh_CTC - BoQ Agrex Building" xfId="968" xr:uid="{A44A140D-D94A-45FB-8EA5-3DCF92DDF0FB}"/>
    <cellStyle name="T_Book1_Copy of Cau tao gia Mau" xfId="969" xr:uid="{CD85AFF0-F4ED-4CC7-B657-E9A03084754C}"/>
    <cellStyle name="T_Book1_CPK" xfId="970" xr:uid="{2225FA73-95FF-4597-AE1A-A3A27A3CD075}"/>
    <cellStyle name="T_Book1_CTC - BoQ Agrex Building" xfId="971" xr:uid="{65BA21EB-0463-4AE8-AAE3-F8126090E271}"/>
    <cellStyle name="T_Book1_khoi luong gian dao + dam I" xfId="972" xr:uid="{65AC9F98-ABFD-4665-B54B-E27F8CBF78E2}"/>
    <cellStyle name="T_Book1_Thau phu - Cung cap -2008" xfId="973" xr:uid="{39970136-626A-471A-BE9E-883120CA665B}"/>
    <cellStyle name="T_Book1_Thiet bi" xfId="974" xr:uid="{CACE6AA8-2D40-4810-863D-28877B69A6AC}"/>
    <cellStyle name="T_Book1_Thong tin chung Groz" xfId="975" xr:uid="{6CD9696F-D003-4E2C-BA8A-1D103BB07C81}"/>
    <cellStyle name="T_Book1_Thong tin chung Groz_08. BoQ Vinamilk My Phuoc 2 BD - Rev.00 (Tong hop XD-M&amp;E)-29.09.09" xfId="976" xr:uid="{7FEBFBB4-C4EC-443E-8FBC-F9481B74B460}"/>
    <cellStyle name="T_Book1_Update rate-27.6.2008" xfId="977" xr:uid="{6F02AA3A-1B07-4210-B031-1BD77F2422E8}"/>
    <cellStyle name="T_Book1_Yeu cau thanh toan dot 2" xfId="978" xr:uid="{098DEE95-46E5-4288-B9C5-66E6343E815B}"/>
    <cellStyle name="T_Book2" xfId="979" xr:uid="{0B9E5A20-21B5-4F43-891E-994BAA8A5CF5}"/>
    <cellStyle name="T_Book2_CTC - BoQ Agrex Building" xfId="980" xr:uid="{4A4931A4-664B-4BE6-BD05-32B3FAFF7EF4}"/>
    <cellStyle name="T_BoQ-E-TOWN 2 Building -COTECCONS" xfId="981" xr:uid="{A709C8E7-8B4F-4F16-A400-FE146DA48D97}"/>
    <cellStyle name="T_BoQ-E-TOWN 2 Building -COTECCONS_Cau tao gia Arico T2-2009" xfId="982" xr:uid="{78A9D68F-4BEB-4E4D-A7EE-AF0E04F38B15}"/>
    <cellStyle name="T_BoQ-E-TOWN 2 Building -COTECCONS_Cau tao gia Arico T2-2009_08. BoQ Vinamilk My Phuoc 2 BD - Rev.00 (Tong hop XD-M&amp;E)-29.09.09" xfId="983" xr:uid="{1DBAE684-B55C-44D4-B790-EEBE191DEB88}"/>
    <cellStyle name="T_BoQ-E-TOWN 2 Building -COTECCONS_Cau tao gia phan Tho (ham + Than) 15-9-08" xfId="984" xr:uid="{0DA87B38-4A24-4311-8273-4E5FBDD2AAC1}"/>
    <cellStyle name="T_BoQ-E-TOWN 2 Building -COTECCONS_Everich 2- Method statement 07-06" xfId="985" xr:uid="{D57860FD-A141-4C6F-AB4B-483703ADEB36}"/>
    <cellStyle name="T_BoQ-E-TOWN 2 Building -COTECCONS_KL bien phap" xfId="986" xr:uid="{A9C43BD0-9A3F-42F0-A467-E40B4A5FFBDA}"/>
    <cellStyle name="T_BOQ-Puma-Update (02July, 2008)" xfId="987" xr:uid="{B96E4A49-BB9A-43BC-9659-9E2C729112C9}"/>
    <cellStyle name="T_Cau tao gia Nop thau Mau" xfId="988" xr:uid="{93971E5E-46F1-4879-8A97-328A24ADF473}"/>
    <cellStyle name="T_Cau tao gia Nop thau Mau_CTC - BoQ Agrex Building" xfId="989" xr:uid="{2FCE01C8-06FA-4307-968D-99B09177A3BF}"/>
    <cellStyle name="T_Cau tao gia phan Tho (ham + Than) 15-9-08" xfId="990" xr:uid="{28F9C01B-462F-47C8-A17E-44FDCEA436EE}"/>
    <cellStyle name="T_CAU TAO GIA THE OCEAN VILLAS DANANG" xfId="991" xr:uid="{43F978E5-A860-434F-9E66-4D2F04D6A537}"/>
    <cellStyle name="T_Cau tao gia Thien Long Ha Nam (28-2-08)" xfId="992" xr:uid="{F25B8CF5-5DDF-4A92-898F-76A5D11C2713}"/>
    <cellStyle name="T_Cau tao gia Thien Long Ha Nam (28-2-08)_CTC - BoQ Agrex Building" xfId="993" xr:uid="{F5DC34C5-8ECC-4854-8800-D3DB7C5677E4}"/>
    <cellStyle name="T_cong tac chuan bi Nhatrang Plaza" xfId="994" xr:uid="{B14AA35B-A3D2-49E8-AEDC-D52A8CE9CEC2}"/>
    <cellStyle name="T_Cong tac chuan bi-Thanh" xfId="995" xr:uid="{F8FEEF6F-2686-4983-84D6-0209EFD4E899}"/>
    <cellStyle name="T_Cong tac chuan bi-Thanh_CTC - BoQ Agrex Building" xfId="996" xr:uid="{41F7214D-8036-4C73-AB72-1E1A1BE27944}"/>
    <cellStyle name="T_Copy of Cau tao gia Mau" xfId="997" xr:uid="{2652575F-5714-41B1-8422-9E5B9D38A68E}"/>
    <cellStyle name="T_CPK" xfId="998" xr:uid="{1C64B7EC-49BD-472D-A1C7-3F719B15A356}"/>
    <cellStyle name="T_CROWN WELL 冠威報價單20071015" xfId="999" xr:uid="{F51C3CAD-3B8D-48C9-B719-1E173951F29E}"/>
    <cellStyle name="T_CTC - BoQ Agrex Building" xfId="1000" xr:uid="{ACD77780-8D93-4CF9-BF38-39F57F1016DB}"/>
    <cellStyle name="T_Du toan 2 tang ham - 15%lai" xfId="1001" xr:uid="{DC90CC6E-13CB-4CEE-9EF3-951BD60BBB24}"/>
    <cellStyle name="T_Du toan 2 tang ham - 15%lai_Cau tao gia Arico T2-2009" xfId="1002" xr:uid="{14557C3A-F051-4DB1-93E5-0CCE9C23D588}"/>
    <cellStyle name="T_Du toan 2 tang ham - 15%lai_Cau tao gia Arico T2-2009_08. BoQ Vinamilk My Phuoc 2 BD - Rev.00 (Tong hop XD-M&amp;E)-29.09.09" xfId="1003" xr:uid="{FB6E7C8B-3E92-493D-A78A-5375BD3B7505}"/>
    <cellStyle name="T_Du toan 2 tang ham - 15%lai_Cau tao gia phan Tho (ham + Than) 15-9-08" xfId="1004" xr:uid="{D2665F26-D023-42BD-BD8A-A4D5F85B7C56}"/>
    <cellStyle name="T_Du toan 2 tang ham - 15%lai_Everich 2- Method statement 07-06" xfId="1005" xr:uid="{C0A2E6CA-A493-4CAC-AA1E-4876A9FCF1FD}"/>
    <cellStyle name="T_Du toan 2 tang ham - 15%lai_KL bien phap" xfId="1006" xr:uid="{82FA4F6B-5BBB-4A00-8F33-D5871756D20E}"/>
    <cellStyle name="T_Du toan 2 tang ham - 15%lai_Thau phu - Cung cap -2008" xfId="1007" xr:uid="{97BB7EC8-ECB4-4374-B688-4DE55089AE37}"/>
    <cellStyle name="T_Du toan 2 tang ham - 15%lai_Thong tin chung Groz" xfId="1008" xr:uid="{FB4EE7DE-3FB2-4AE4-A3D4-9E89CE7107C1}"/>
    <cellStyle name="T_Du toan 2 tang ham - 15%lai_Thong tin chung Groz_08. BoQ Vinamilk My Phuoc 2 BD - Rev.00 (Tong hop XD-M&amp;E)-29.09.09" xfId="1009" xr:uid="{F7BE02FA-9FD5-4E73-9AD4-D814034239A4}"/>
    <cellStyle name="T_DU TOAN SUPOR2806" xfId="1010" xr:uid="{D768FBB0-EE7C-420A-9F9A-885D1806859B}"/>
    <cellStyle name="T_DU TOAN SUPOR2806_General Quotation 5-1-2008" xfId="1011" xr:uid="{604622EA-D18D-4CEF-BA82-CCB9391D931D}"/>
    <cellStyle name="T_giatonghop thanhtoan d1" xfId="1012" xr:uid="{CCEF41DD-792A-4E9E-A7E0-F84832AC6054}"/>
    <cellStyle name="T_khoi luong gian dao + dam I" xfId="1013" xr:uid="{DFE0EBC5-7739-474F-B71E-4C17B14C7A79}"/>
    <cellStyle name="T_NHUA TAN HOA 10-6" xfId="1016" xr:uid="{9D9D0822-AC01-4D95-834D-F38FE9CB4AF1}"/>
    <cellStyle name="T_NHUA TAN HOA 10-6,KCmoi" xfId="1017" xr:uid="{C1553627-A3E1-4CFD-A22A-B8529F3A1945}"/>
    <cellStyle name="T_NHUA TAN HOA 10-6,KCmoi_General Quotation 5-1-2008" xfId="1018" xr:uid="{620FB7AE-C3D2-4A08-90A4-8F36B305F18C}"/>
    <cellStyle name="T_NHUA TAN HOA 10-6,KCmoi_HUNG" xfId="1019" xr:uid="{E3C82498-915C-470D-BF2B-938311808AD6}"/>
    <cellStyle name="T_NHUA TAN HOA 10-6,KCmoi_HUNG_05. 080428- BOQ - Main construction(05May, 2008) Tai" xfId="1020" xr:uid="{5FD0AD94-730C-4C9D-9B44-762A90B6AE4A}"/>
    <cellStyle name="T_NHUA TAN HOA 10-6,KCmoi_HUNG_Addendum- BOQ - Main construction-r.2" xfId="1021" xr:uid="{20CBCC13-732C-460A-8738-0433F88AD619}"/>
    <cellStyle name="T_NHUA TAN HOA 10-6,KCmoi_HUNG_BOQ - Puma - Main construction (20May, 2008)" xfId="1022" xr:uid="{8517D8B3-9F8C-4A6B-BABE-F1AFA5CF0616}"/>
    <cellStyle name="T_NHUA TAN HOA 10-6,KCmoi_HUNG_BOQ - Puma - Main construction (20May, 2008) trinh nop" xfId="1023" xr:uid="{45E8D3B4-AD19-418E-A5A6-D1C42B9E062E}"/>
    <cellStyle name="T_NHUA TAN HOA 10-6,KCmoi_HUNG_BOQ-Puma-Rev 1 (29May, 2008)-Final" xfId="1024" xr:uid="{766320C0-FF59-4578-836C-9C572FDF6FBF}"/>
    <cellStyle name="T_NHUA TAN HOA 10-6,KCmoi_HUNG_BOQ-Puma-Rev 2 (03June, 2008)" xfId="1025" xr:uid="{C1B2D8ED-E0B9-411C-BC7C-3B12BD6A1093}"/>
    <cellStyle name="T_NHUA TAN HOA 10-6,KCmoi_HUNG_BOQ-Puma-Rev 2 (04June, 2008)" xfId="1026" xr:uid="{668A5195-4DF2-46FF-BB15-425F6A288594}"/>
    <cellStyle name="T_NHUA TAN HOA 10-6,KCmoi_HUNG_BOQ-Puma-Rev 3" xfId="1027" xr:uid="{D829062B-9E81-4B1A-8ECA-507E9D349439}"/>
    <cellStyle name="T_NHUA TAN HOA 10-6,KCmoi_HUNG_BOQ-Puma-Update (02July, 2008)-R1" xfId="1028" xr:uid="{655AAE6C-AF97-4257-8890-4F6FDFC4B599}"/>
    <cellStyle name="T_NHUA TAN HOA 10-6,KCmoi_puma 16.1" xfId="1029" xr:uid="{94DBDD6B-C0F5-4F00-B2C6-5CB6639072FC}"/>
    <cellStyle name="T_NHUA TAN HOA 10-6,KCmoi_puma 16.1_05. 080428- BOQ - Main construction(05May, 2008) Tai" xfId="1030" xr:uid="{5172E26F-F9D5-4AAA-8D88-6B46EEAD10D3}"/>
    <cellStyle name="T_NHUA TAN HOA 10-6,KCmoi_puma 16.1_Addendum- BOQ - Main construction-r.2" xfId="1031" xr:uid="{5D679466-4EBF-4B29-A528-FA800F009AE0}"/>
    <cellStyle name="T_NHUA TAN HOA 10-6,KCmoi_puma 16.1_BOQ - Puma - Main construction (20May, 2008)" xfId="1032" xr:uid="{17745421-B342-4E80-A3BF-F28B97226341}"/>
    <cellStyle name="T_NHUA TAN HOA 10-6,KCmoi_puma 16.1_BOQ - Puma - Main construction (20May, 2008) trinh nop" xfId="1033" xr:uid="{76DD5D51-CD57-4DA4-BE38-CD02F578C467}"/>
    <cellStyle name="T_NHUA TAN HOA 10-6,KCmoi_puma 16.1_BOQ-Puma-Rev 1 (29May, 2008)-Final" xfId="1034" xr:uid="{E2FC942C-76AF-4B9E-96AB-6BAB9754267C}"/>
    <cellStyle name="T_NHUA TAN HOA 10-6,KCmoi_puma 16.1_BOQ-Puma-Rev 2 (03June, 2008)" xfId="1035" xr:uid="{B6C067E5-3B51-43E5-90E1-ADB9CC43E7FD}"/>
    <cellStyle name="T_NHUA TAN HOA 10-6,KCmoi_puma 16.1_BOQ-Puma-Rev 2 (04June, 2008)" xfId="1036" xr:uid="{0B8CE367-F524-4737-9C6A-277140AD2302}"/>
    <cellStyle name="T_NHUA TAN HOA 10-6,KCmoi_puma 16.1_BOQ-Puma-Rev 3" xfId="1037" xr:uid="{982292F3-7896-4984-A70F-B432F8DCCA31}"/>
    <cellStyle name="T_NHUA TAN HOA 10-6,KCmoi_puma 16.1_BOQ-Puma-Update (02July, 2008)-R1" xfId="1038" xr:uid="{3DD0B4C9-A01E-49DA-B818-DAB6A6C78EC0}"/>
    <cellStyle name="T_NHUA TAN HOA 10-6,KCmoi_puma 17.1" xfId="1039" xr:uid="{40A6F80D-DA8B-4BE5-B23A-E7C9B05AC27D}"/>
    <cellStyle name="T_NHUA TAN HOA 10-6_05. 080428- BOQ - Main construction(05May, 2008) Tai" xfId="1040" xr:uid="{86873375-0B2C-4BA9-99A4-C583DDCEBEA5}"/>
    <cellStyle name="T_NHUA TAN HOA 10-6_Addendum- BOQ - Main construction-r.2" xfId="1041" xr:uid="{B58ECD9E-D220-4B07-B6D5-1463F933E8A7}"/>
    <cellStyle name="T_NHUA TAN HOA 10-6_BOQ - Puma - Main construction (20May, 2008)" xfId="1042" xr:uid="{04F853C0-F543-45BD-B356-87A2BFEE3AEA}"/>
    <cellStyle name="T_NHUA TAN HOA 10-6_BOQ - Puma - Main construction (20May, 2008) trinh nop" xfId="1043" xr:uid="{B7DFD84E-5969-4858-ADAA-CC8B5A43E6C9}"/>
    <cellStyle name="T_NHUA TAN HOA 10-6_BOQ-Puma-Rev 1 (29May, 2008)-Final" xfId="1044" xr:uid="{34AB2B82-C0C5-4A93-9B90-2D6EC779894A}"/>
    <cellStyle name="T_NHUA TAN HOA 10-6_BOQ-Puma-Rev 2 (03June, 2008)" xfId="1045" xr:uid="{45B38AE8-379E-4CC4-822D-656BD6251C0F}"/>
    <cellStyle name="T_NHUA TAN HOA 10-6_BOQ-Puma-Rev 2 (04June, 2008)" xfId="1046" xr:uid="{7BEB9007-620F-4EC7-93E5-14559084F63A}"/>
    <cellStyle name="T_NHUA TAN HOA 10-6_BOQ-Puma-Rev 3" xfId="1047" xr:uid="{E4E02101-88CF-41BB-A230-AD041C8DEA22}"/>
    <cellStyle name="T_NHUA TAN HOA 10-6_BOQ-Puma-Update (02July, 2008)-R1" xfId="1048" xr:uid="{3915AFEA-24A7-4E9A-AF77-7165DD400970}"/>
    <cellStyle name="T_NHUA TAN HOA 10-6_Du toan BONFIGLIOLI-071126" xfId="1049" xr:uid="{783C9AEC-F788-45C3-A01C-5C2C1CA0CE94}"/>
    <cellStyle name="T_NHUA TAN HOA 10-6_Du toan BONFIGLIOLI-071126_General Quotation 5-1-2008" xfId="1050" xr:uid="{ABF11D1F-EED4-4CBE-9B72-6DE1C81B8609}"/>
    <cellStyle name="T_NHUA TAN HOA 10-6_Du toan BONFIGLIOLI-071126_HUNG" xfId="1051" xr:uid="{17347C50-08CF-4C40-92DC-DE441610A288}"/>
    <cellStyle name="T_NHUA TAN HOA 10-6_Du toan BONFIGLIOLI-071126_HUNG_05. 080428- BOQ - Main construction(05May, 2008) Tai" xfId="1052" xr:uid="{D241045F-0FB1-484F-832B-2B5371716BD6}"/>
    <cellStyle name="T_NHUA TAN HOA 10-6_Du toan BONFIGLIOLI-071126_HUNG_Addendum- BOQ - Main construction-r.2" xfId="1053" xr:uid="{5DFFEF29-5748-4882-862C-0269FB193B5A}"/>
    <cellStyle name="T_NHUA TAN HOA 10-6_Du toan BONFIGLIOLI-071126_HUNG_BOQ - Puma - Main construction (20May, 2008)" xfId="1054" xr:uid="{08C61D87-E75B-4FD9-B40B-ABB3D071586F}"/>
    <cellStyle name="T_NHUA TAN HOA 10-6_Du toan BONFIGLIOLI-071126_HUNG_BOQ - Puma - Main construction (20May, 2008) trinh nop" xfId="1055" xr:uid="{B03135F0-F7FB-427E-81C3-4E2C1D0A4F92}"/>
    <cellStyle name="T_NHUA TAN HOA 10-6_Du toan BONFIGLIOLI-071126_HUNG_BOQ-Puma-Rev 1 (29May, 2008)-Final" xfId="1056" xr:uid="{9A34A950-BBCF-4DE8-883E-036DBF276E87}"/>
    <cellStyle name="T_NHUA TAN HOA 10-6_Du toan BONFIGLIOLI-071126_HUNG_BOQ-Puma-Rev 2 (03June, 2008)" xfId="1057" xr:uid="{0CD28B1B-6779-4DB8-AE91-294B4C99F20D}"/>
    <cellStyle name="T_NHUA TAN HOA 10-6_Du toan BONFIGLIOLI-071126_HUNG_BOQ-Puma-Rev 2 (04June, 2008)" xfId="1058" xr:uid="{8A418A20-2886-47F0-8FE3-239440AF815E}"/>
    <cellStyle name="T_NHUA TAN HOA 10-6_Du toan BONFIGLIOLI-071126_HUNG_BOQ-Puma-Rev 3" xfId="1059" xr:uid="{4C17AA66-2F62-4731-8775-D6106DE3D82D}"/>
    <cellStyle name="T_NHUA TAN HOA 10-6_Du toan BONFIGLIOLI-071126_HUNG_BOQ-Puma-Update (02July, 2008)-R1" xfId="1060" xr:uid="{492AADE2-B2B2-409D-98E6-C07E25ECAE8A}"/>
    <cellStyle name="T_NHUA TAN HOA 10-6_Du toan BONFIGLIOLI-071126_puma 16.1" xfId="1061" xr:uid="{E417F84A-BCFD-4C4F-BBE3-C024E61378CC}"/>
    <cellStyle name="T_NHUA TAN HOA 10-6_Du toan BONFIGLIOLI-071126_puma 16.1_05. 080428- BOQ - Main construction(05May, 2008) Tai" xfId="1062" xr:uid="{F429D138-6A83-417A-86CD-7D43DAF1366D}"/>
    <cellStyle name="T_NHUA TAN HOA 10-6_Du toan BONFIGLIOLI-071126_puma 16.1_Addendum- BOQ - Main construction-r.2" xfId="1063" xr:uid="{1D85B790-5972-4AD3-ADD2-CDE549805BBA}"/>
    <cellStyle name="T_NHUA TAN HOA 10-6_Du toan BONFIGLIOLI-071126_puma 16.1_BOQ - Puma - Main construction (20May, 2008)" xfId="1064" xr:uid="{6E292C74-8905-4CAF-91AC-8F00E83F9B2C}"/>
    <cellStyle name="T_NHUA TAN HOA 10-6_Du toan BONFIGLIOLI-071126_puma 16.1_BOQ - Puma - Main construction (20May, 2008) trinh nop" xfId="1065" xr:uid="{F8FEF232-4DFC-4B4E-A16F-AECBCDAA84AE}"/>
    <cellStyle name="T_NHUA TAN HOA 10-6_Du toan BONFIGLIOLI-071126_puma 16.1_BOQ-Puma-Rev 1 (29May, 2008)-Final" xfId="1066" xr:uid="{A87B98D6-A529-413B-8D9B-DD63FFDC775A}"/>
    <cellStyle name="T_NHUA TAN HOA 10-6_Du toan BONFIGLIOLI-071126_puma 16.1_BOQ-Puma-Rev 2 (03June, 2008)" xfId="1067" xr:uid="{441981B0-ACA8-444A-B5D1-8647E5FE3BAA}"/>
    <cellStyle name="T_NHUA TAN HOA 10-6_Du toan BONFIGLIOLI-071126_puma 16.1_BOQ-Puma-Rev 2 (04June, 2008)" xfId="1068" xr:uid="{D767E795-97C4-4A3F-9146-7BDF338DC237}"/>
    <cellStyle name="T_NHUA TAN HOA 10-6_Du toan BONFIGLIOLI-071126_puma 16.1_BOQ-Puma-Rev 3" xfId="1069" xr:uid="{09DCAD58-B904-4133-9874-980CEAAC90ED}"/>
    <cellStyle name="T_NHUA TAN HOA 10-6_Du toan BONFIGLIOLI-071126_puma 16.1_BOQ-Puma-Update (02July, 2008)-R1" xfId="1070" xr:uid="{68D21234-E87D-4672-9255-084898C57928}"/>
    <cellStyle name="T_NHUA TAN HOA 10-6_Du toan BONFIGLIOLI-071126_puma 17.1" xfId="1071" xr:uid="{A5A0853B-14E0-4342-9848-9DDFB67C57F8}"/>
    <cellStyle name="T_NHUA TAN HOA 10-6_Du toan BONFIGLIOLI-071126-Tram" xfId="1072" xr:uid="{012D9B00-8A32-4C82-A996-58C1E8C710A7}"/>
    <cellStyle name="T_NHUA TAN HOA 10-6_Du toan BONFIGLIOLI-071126-Tram_General Quotation 5-1-2008" xfId="1073" xr:uid="{DEEEA0D8-5E33-4F18-A55A-E5AC7D0B5C23}"/>
    <cellStyle name="T_NHUA TAN HOA 10-6_Du toan mau 11-2007" xfId="1074" xr:uid="{A4DAE24D-ED7C-464B-8FC8-54E4300E2B2F}"/>
    <cellStyle name="T_NHUA TAN HOA 10-6_Du toan mau 11-2007_General Quotation 5-1-2008" xfId="1075" xr:uid="{088C8DDA-87B6-49A2-ADF1-AC8FA683143B}"/>
    <cellStyle name="T_NHUA TAN HOA 10-6_Du toan mau 11-2007_HUNG" xfId="1076" xr:uid="{C12B553E-47DA-4799-A569-C494A65E956F}"/>
    <cellStyle name="T_NHUA TAN HOA 10-6_Du toan mau 11-2007_HUNG_05. 080428- BOQ - Main construction(05May, 2008) Tai" xfId="1077" xr:uid="{66F8417D-8663-4AF9-BA3B-0109ACC3DA7A}"/>
    <cellStyle name="T_NHUA TAN HOA 10-6_Du toan mau 11-2007_HUNG_Addendum- BOQ - Main construction-r.2" xfId="1078" xr:uid="{4B5D7831-29A2-4108-89A0-60DDF39D0088}"/>
    <cellStyle name="T_NHUA TAN HOA 10-6_Du toan mau 11-2007_HUNG_BOQ - Puma - Main construction (20May, 2008)" xfId="1079" xr:uid="{FFFDA7E6-C3B3-4B21-98E5-35CEEFD736F3}"/>
    <cellStyle name="T_NHUA TAN HOA 10-6_Du toan mau 11-2007_HUNG_BOQ - Puma - Main construction (20May, 2008) trinh nop" xfId="1080" xr:uid="{65F24115-1CF2-42F4-86B4-00C23D759DE7}"/>
    <cellStyle name="T_NHUA TAN HOA 10-6_Du toan mau 11-2007_HUNG_BOQ-Puma-Rev 1 (29May, 2008)-Final" xfId="1081" xr:uid="{4B74DBF5-4041-4D6C-B2B1-3EE8E6B4992F}"/>
    <cellStyle name="T_NHUA TAN HOA 10-6_Du toan mau 11-2007_HUNG_BOQ-Puma-Rev 2 (03June, 2008)" xfId="1082" xr:uid="{E1860FD3-7921-41D7-B7BB-C6A39E926676}"/>
    <cellStyle name="T_NHUA TAN HOA 10-6_Du toan mau 11-2007_HUNG_BOQ-Puma-Rev 2 (04June, 2008)" xfId="1083" xr:uid="{50EDD453-6F26-4391-AD03-DC240E34539B}"/>
    <cellStyle name="T_NHUA TAN HOA 10-6_Du toan mau 11-2007_HUNG_BOQ-Puma-Rev 3" xfId="1084" xr:uid="{E18125CA-3E47-4DF9-B375-B3693BAE89A2}"/>
    <cellStyle name="T_NHUA TAN HOA 10-6_Du toan mau 11-2007_HUNG_BOQ-Puma-Update (02July, 2008)-R1" xfId="1085" xr:uid="{77CDBAAD-4652-4719-A75A-0BC47FE3E185}"/>
    <cellStyle name="T_NHUA TAN HOA 10-6_Du toan mau 11-2007_puma 16.1" xfId="1086" xr:uid="{3D44A999-A897-4ABA-A36B-92DF06BFCBD5}"/>
    <cellStyle name="T_NHUA TAN HOA 10-6_Du toan mau 11-2007_puma 16.1_05. 080428- BOQ - Main construction(05May, 2008) Tai" xfId="1087" xr:uid="{E315A899-3990-41AE-8A1C-5B14C852F7E5}"/>
    <cellStyle name="T_NHUA TAN HOA 10-6_Du toan mau 11-2007_puma 16.1_Addendum- BOQ - Main construction-r.2" xfId="1088" xr:uid="{1002A811-3897-44A1-9656-0B8C61B56105}"/>
    <cellStyle name="T_NHUA TAN HOA 10-6_Du toan mau 11-2007_puma 16.1_BOQ - Puma - Main construction (20May, 2008)" xfId="1089" xr:uid="{A132F7ED-24EF-4F78-8D49-4627133DD58B}"/>
    <cellStyle name="T_NHUA TAN HOA 10-6_Du toan mau 11-2007_puma 16.1_BOQ - Puma - Main construction (20May, 2008) trinh nop" xfId="1090" xr:uid="{BBF07246-989D-44D1-98B4-AC3E1C8D98F6}"/>
    <cellStyle name="T_NHUA TAN HOA 10-6_Du toan mau 11-2007_puma 16.1_BOQ-Puma-Rev 1 (29May, 2008)-Final" xfId="1091" xr:uid="{8C948955-FB15-42F1-980D-1100D1132AE9}"/>
    <cellStyle name="T_NHUA TAN HOA 10-6_Du toan mau 11-2007_puma 16.1_BOQ-Puma-Rev 2 (03June, 2008)" xfId="1092" xr:uid="{82C79F61-2CCD-47EC-B943-308676AECBBE}"/>
    <cellStyle name="T_NHUA TAN HOA 10-6_Du toan mau 11-2007_puma 16.1_BOQ-Puma-Rev 2 (04June, 2008)" xfId="1093" xr:uid="{143DF907-D165-4D24-9712-47E2226B2876}"/>
    <cellStyle name="T_NHUA TAN HOA 10-6_Du toan mau 11-2007_puma 16.1_BOQ-Puma-Rev 3" xfId="1094" xr:uid="{E359E87A-558E-48E2-9D27-342A46343FA5}"/>
    <cellStyle name="T_NHUA TAN HOA 10-6_Du toan mau 11-2007_puma 16.1_BOQ-Puma-Update (02July, 2008)-R1" xfId="1095" xr:uid="{E8DE6DDE-D9D2-47D3-A4EE-709ECDB2A5D3}"/>
    <cellStyle name="T_NHUA TAN HOA 10-6_Du toan mau 11-2007_puma 17.1" xfId="1096" xr:uid="{AA03114B-0B85-4984-B500-9F4310900902}"/>
    <cellStyle name="T_No.01 Cat be tong be nang hang xuong 1 " xfId="1014" xr:uid="{8B11F8E3-D61D-4193-A398-89083B166D86}"/>
    <cellStyle name="T_No.01 Cat be tong be nang hang xuong 1 _08. BoQ Vinamilk My Phuoc 2 BD - Rev.00 (Tong hop XD-M&amp;E)-29.09.09" xfId="1015" xr:uid="{44E40DAA-A619-40DD-AFF3-A961EBF34674}"/>
    <cellStyle name="T_SUPOR2806-2" xfId="1097" xr:uid="{B70A509B-3661-40FF-A8EC-79A752476F94}"/>
    <cellStyle name="T_SUPOR2806-2_05. 080428- BOQ - Main construction(05May, 2008) Tai" xfId="1098" xr:uid="{9AD15F81-8DCA-4395-9C47-99F0FC6F3F6E}"/>
    <cellStyle name="T_SUPOR2806-2_Addendum- BOQ - Main construction-r.2" xfId="1099" xr:uid="{4F02D3D4-2860-41BA-98E1-4EB8C91E28E0}"/>
    <cellStyle name="T_SUPOR2806-2_BOQ - Puma - Main construction (20May, 2008)" xfId="1100" xr:uid="{B4711DDA-04F1-4E9F-9117-9CBE3A2D7EC6}"/>
    <cellStyle name="T_SUPOR2806-2_BOQ - Puma - Main construction (20May, 2008) trinh nop" xfId="1101" xr:uid="{E5CFCC43-D6C9-452A-865E-AB974D7DA8C2}"/>
    <cellStyle name="T_SUPOR2806-2_BOQ-Puma-Rev 1 (29May, 2008)-Final" xfId="1102" xr:uid="{12712A30-A090-4B54-84C5-A70FCEF8E4D2}"/>
    <cellStyle name="T_SUPOR2806-2_BOQ-Puma-Rev 2 (03June, 2008)" xfId="1103" xr:uid="{5ED3C7C5-A4C5-4B7A-9E36-97E21F05B400}"/>
    <cellStyle name="T_SUPOR2806-2_BOQ-Puma-Rev 2 (04June, 2008)" xfId="1104" xr:uid="{2089411D-1E87-49FD-91C2-FC33AD841E28}"/>
    <cellStyle name="T_SUPOR2806-2_BOQ-Puma-Rev 3" xfId="1105" xr:uid="{C68C02B6-4C7A-4200-9D1B-E72D01662414}"/>
    <cellStyle name="T_SUPOR2806-2_BOQ-Puma-Update (02July, 2008)-R1" xfId="1106" xr:uid="{77A47333-DC16-476D-B424-33C3FFA251EA}"/>
    <cellStyle name="T_SUPOR2806-2_Du toan BONFIGLIOLI-071126" xfId="1107" xr:uid="{D7F4FD74-5AAC-408A-B69C-5C55CDEA654D}"/>
    <cellStyle name="T_SUPOR2806-2_Du toan BONFIGLIOLI-071126_General Quotation 5-1-2008" xfId="1108" xr:uid="{7AC2ACD0-6BBE-4713-838F-B7B4E49B3F15}"/>
    <cellStyle name="T_SUPOR2806-2_Du toan BONFIGLIOLI-071126_HUNG" xfId="1109" xr:uid="{8BAF7C4B-0BC1-41BC-AAEA-F3A380EB4B8F}"/>
    <cellStyle name="T_SUPOR2806-2_Du toan BONFIGLIOLI-071126_HUNG_05. 080428- BOQ - Main construction(05May, 2008) Tai" xfId="1110" xr:uid="{DA529A4B-9341-47C2-B741-F9205C8FEB51}"/>
    <cellStyle name="T_SUPOR2806-2_Du toan BONFIGLIOLI-071126_HUNG_Addendum- BOQ - Main construction-r.2" xfId="1111" xr:uid="{127C851F-C37C-40D7-B762-022E0BBAEA80}"/>
    <cellStyle name="T_SUPOR2806-2_Du toan BONFIGLIOLI-071126_HUNG_BOQ - Puma - Main construction (20May, 2008)" xfId="1112" xr:uid="{34707A80-E77B-4D67-8278-41A0C08363D3}"/>
    <cellStyle name="T_SUPOR2806-2_Du toan BONFIGLIOLI-071126_HUNG_BOQ - Puma - Main construction (20May, 2008) trinh nop" xfId="1113" xr:uid="{73A61AEF-36B9-4AD7-BBF7-B38C10D5D100}"/>
    <cellStyle name="T_SUPOR2806-2_Du toan BONFIGLIOLI-071126_HUNG_BOQ-Puma-Rev 1 (29May, 2008)-Final" xfId="1114" xr:uid="{2E66BF94-7F9A-4C8B-AE70-A1DF505C5590}"/>
    <cellStyle name="T_SUPOR2806-2_Du toan BONFIGLIOLI-071126_HUNG_BOQ-Puma-Rev 2 (03June, 2008)" xfId="1115" xr:uid="{66C48BB5-64A7-49EA-9B4D-15396EFB5033}"/>
    <cellStyle name="T_SUPOR2806-2_Du toan BONFIGLIOLI-071126_HUNG_BOQ-Puma-Rev 2 (04June, 2008)" xfId="1116" xr:uid="{F7B3F569-4086-41F7-A39E-EEA8D14127C9}"/>
    <cellStyle name="T_SUPOR2806-2_Du toan BONFIGLIOLI-071126_HUNG_BOQ-Puma-Rev 3" xfId="1117" xr:uid="{CE7353F4-5D35-44BF-B3EB-8969EB5D109A}"/>
    <cellStyle name="T_SUPOR2806-2_Du toan BONFIGLIOLI-071126_HUNG_BOQ-Puma-Update (02July, 2008)-R1" xfId="1118" xr:uid="{941FE06F-C6DB-49D4-BE81-19B198AD22D7}"/>
    <cellStyle name="T_SUPOR2806-2_Du toan BONFIGLIOLI-071126_puma 16.1" xfId="1119" xr:uid="{3A1853EE-C003-428D-A26F-2BDD326A0EB5}"/>
    <cellStyle name="T_SUPOR2806-2_Du toan BONFIGLIOLI-071126_puma 16.1_05. 080428- BOQ - Main construction(05May, 2008) Tai" xfId="1120" xr:uid="{1C1DC472-F9CD-4529-9AD6-44CE289FF236}"/>
    <cellStyle name="T_SUPOR2806-2_Du toan BONFIGLIOLI-071126_puma 16.1_Addendum- BOQ - Main construction-r.2" xfId="1121" xr:uid="{08916ED3-69C4-4D03-8E42-E80337D7ABBB}"/>
    <cellStyle name="T_SUPOR2806-2_Du toan BONFIGLIOLI-071126_puma 16.1_BOQ - Puma - Main construction (20May, 2008)" xfId="1122" xr:uid="{BE5F7E33-F191-4118-AE11-FAC9CE28112C}"/>
    <cellStyle name="T_SUPOR2806-2_Du toan BONFIGLIOLI-071126_puma 16.1_BOQ - Puma - Main construction (20May, 2008) trinh nop" xfId="1123" xr:uid="{ADA5F104-2EE7-43B7-81BA-AC7F6C0182C7}"/>
    <cellStyle name="T_SUPOR2806-2_Du toan BONFIGLIOLI-071126_puma 16.1_BOQ-Puma-Rev 1 (29May, 2008)-Final" xfId="1124" xr:uid="{2EF0725E-6F67-474E-B5AD-0C672745FBBD}"/>
    <cellStyle name="T_SUPOR2806-2_Du toan BONFIGLIOLI-071126_puma 16.1_BOQ-Puma-Rev 2 (03June, 2008)" xfId="1125" xr:uid="{BD883532-C457-44A6-B1C7-2A53AFDD4E63}"/>
    <cellStyle name="T_SUPOR2806-2_Du toan BONFIGLIOLI-071126_puma 16.1_BOQ-Puma-Rev 2 (04June, 2008)" xfId="1126" xr:uid="{0ACBE6BB-0204-4048-9422-6111608471AB}"/>
    <cellStyle name="T_SUPOR2806-2_Du toan BONFIGLIOLI-071126_puma 16.1_BOQ-Puma-Rev 3" xfId="1127" xr:uid="{7F4066DA-F741-4866-9148-05EFF804B8B6}"/>
    <cellStyle name="T_SUPOR2806-2_Du toan BONFIGLIOLI-071126_puma 16.1_BOQ-Puma-Update (02July, 2008)-R1" xfId="1128" xr:uid="{382B89FB-A69E-4B49-81B8-D5D286A8C649}"/>
    <cellStyle name="T_SUPOR2806-2_Du toan BONFIGLIOLI-071126_puma 17.1" xfId="1129" xr:uid="{DC525245-89AC-4ADB-A8E8-0802D031262E}"/>
    <cellStyle name="T_SUPOR2806-2_Du toan BONFIGLIOLI-071126-Tram" xfId="1130" xr:uid="{196DC273-9DAC-462D-995F-E7973321CF4C}"/>
    <cellStyle name="T_SUPOR2806-2_Du toan BONFIGLIOLI-071126-Tram_General Quotation 5-1-2008" xfId="1131" xr:uid="{A73DE5C0-28BE-4BB0-BD3E-9AAB0E22631D}"/>
    <cellStyle name="T_SUPOR2806-2_Du toan mau 11-2007" xfId="1132" xr:uid="{D12EE6D0-DAAB-4C90-8389-2EF71E57E6B0}"/>
    <cellStyle name="T_SUPOR2806-2_Du toan mau 11-2007_General Quotation 5-1-2008" xfId="1133" xr:uid="{5C48D7B3-668B-4C29-96D7-11EEB6F9F2F4}"/>
    <cellStyle name="T_SUPOR2806-2_Du toan mau 11-2007_HUNG" xfId="1134" xr:uid="{8D2C449C-9313-49AC-9E09-84602A161C18}"/>
    <cellStyle name="T_SUPOR2806-2_Du toan mau 11-2007_HUNG_05. 080428- BOQ - Main construction(05May, 2008) Tai" xfId="1135" xr:uid="{281CB24A-8996-445D-99AC-3D4E056DBC1F}"/>
    <cellStyle name="T_SUPOR2806-2_Du toan mau 11-2007_HUNG_Addendum- BOQ - Main construction-r.2" xfId="1136" xr:uid="{2B7DF0FD-FAAF-4DE5-884A-69F0E96EFD11}"/>
    <cellStyle name="T_SUPOR2806-2_Du toan mau 11-2007_HUNG_BOQ - Puma - Main construction (20May, 2008)" xfId="1137" xr:uid="{92CC5D5A-F15A-4BE5-8CE1-4339D3D79AB6}"/>
    <cellStyle name="T_SUPOR2806-2_Du toan mau 11-2007_HUNG_BOQ - Puma - Main construction (20May, 2008) trinh nop" xfId="1138" xr:uid="{F0610642-8ACD-4E26-9D05-C23F0C514F98}"/>
    <cellStyle name="T_SUPOR2806-2_Du toan mau 11-2007_HUNG_BOQ-Puma-Rev 1 (29May, 2008)-Final" xfId="1139" xr:uid="{46C9C597-3CEB-4D5B-8533-B55B341DA0B4}"/>
    <cellStyle name="T_SUPOR2806-2_Du toan mau 11-2007_HUNG_BOQ-Puma-Rev 2 (03June, 2008)" xfId="1140" xr:uid="{98F56D1A-C778-4726-9D73-24A652780520}"/>
    <cellStyle name="T_SUPOR2806-2_Du toan mau 11-2007_HUNG_BOQ-Puma-Rev 2 (04June, 2008)" xfId="1141" xr:uid="{4E2B8D5F-4F52-410D-99E4-1290FD005AD7}"/>
    <cellStyle name="T_SUPOR2806-2_Du toan mau 11-2007_HUNG_BOQ-Puma-Rev 3" xfId="1142" xr:uid="{506C5BEB-539F-420D-9146-BB45EB10A7BE}"/>
    <cellStyle name="T_SUPOR2806-2_Du toan mau 11-2007_HUNG_BOQ-Puma-Update (02July, 2008)-R1" xfId="1143" xr:uid="{685BC07F-AF85-49CC-9926-3E763ECC0015}"/>
    <cellStyle name="T_SUPOR2806-2_Du toan mau 11-2007_puma 16.1" xfId="1144" xr:uid="{145E740C-FEF6-491D-B261-969FA82445AA}"/>
    <cellStyle name="T_SUPOR2806-2_Du toan mau 11-2007_puma 16.1_05. 080428- BOQ - Main construction(05May, 2008) Tai" xfId="1145" xr:uid="{860BAC09-6EB0-40B4-9A8B-BEA3A5457FF6}"/>
    <cellStyle name="T_SUPOR2806-2_Du toan mau 11-2007_puma 16.1_Addendum- BOQ - Main construction-r.2" xfId="1146" xr:uid="{D9A1FEFC-8D18-4D5C-8A6C-7BFE0D8F88D9}"/>
    <cellStyle name="T_SUPOR2806-2_Du toan mau 11-2007_puma 16.1_BOQ - Puma - Main construction (20May, 2008)" xfId="1147" xr:uid="{E880F972-4FEE-4B20-A131-C0012B2DA264}"/>
    <cellStyle name="T_SUPOR2806-2_Du toan mau 11-2007_puma 16.1_BOQ - Puma - Main construction (20May, 2008) trinh nop" xfId="1148" xr:uid="{375E406A-4174-4055-94B4-E510FD015D84}"/>
    <cellStyle name="T_SUPOR2806-2_Du toan mau 11-2007_puma 16.1_BOQ-Puma-Rev 1 (29May, 2008)-Final" xfId="1149" xr:uid="{2844D896-5D12-4203-B1B1-B26E7A12398A}"/>
    <cellStyle name="T_SUPOR2806-2_Du toan mau 11-2007_puma 16.1_BOQ-Puma-Rev 2 (03June, 2008)" xfId="1150" xr:uid="{BE9C7CD3-09B0-45C4-87C7-E5D7293037B5}"/>
    <cellStyle name="T_SUPOR2806-2_Du toan mau 11-2007_puma 16.1_BOQ-Puma-Rev 2 (04June, 2008)" xfId="1151" xr:uid="{AD44F523-FC81-4F61-A7C5-0DE781A844CF}"/>
    <cellStyle name="T_SUPOR2806-2_Du toan mau 11-2007_puma 16.1_BOQ-Puma-Rev 3" xfId="1152" xr:uid="{7299867C-42D5-41EC-8B69-20FD53C00A74}"/>
    <cellStyle name="T_SUPOR2806-2_Du toan mau 11-2007_puma 16.1_BOQ-Puma-Update (02July, 2008)-R1" xfId="1153" xr:uid="{68F1E961-CC00-4ED9-83A9-B186FA530571}"/>
    <cellStyle name="T_SUPOR2806-2_Du toan mau 11-2007_puma 17.1" xfId="1154" xr:uid="{1DC79D84-91A7-4715-B408-79604F685F34}"/>
    <cellStyle name="T_Thiet bi" xfId="1155" xr:uid="{A3A9D9D6-90C1-4980-97A6-1D1825E5EA50}"/>
    <cellStyle name="T_Thong tin chung Groz" xfId="1156" xr:uid="{B5C138B9-54C5-45F3-8469-FABF83E9C4F2}"/>
    <cellStyle name="T_Update rate-27.6.2008" xfId="1157" xr:uid="{0655FEDF-A1E1-4C90-B767-07FAC901AF41}"/>
    <cellStyle name="Tan" xfId="1158" xr:uid="{2591F3DE-A451-4FF0-B980-6B6572383E5A}"/>
    <cellStyle name="Text Indent A" xfId="1159" xr:uid="{A2F687E2-0110-4494-BECC-8981AED49FA8}"/>
    <cellStyle name="Text Indent B" xfId="1160" xr:uid="{B9BC0576-689D-4185-AB7A-103CDF497CCB}"/>
    <cellStyle name="Text Indent C" xfId="1161" xr:uid="{ED1D1D58-38B9-48CC-9C13-8A9329B83AA8}"/>
    <cellStyle name="th" xfId="1169" xr:uid="{0AA6ED65-562F-438D-BB96-8B78CE5E61F4}"/>
    <cellStyle name="Times New Roman" xfId="1162" xr:uid="{715801B9-F19C-430B-96FC-BA0C609F76D4}"/>
    <cellStyle name="Title 2" xfId="1163" xr:uid="{72C4EE0D-AB61-4FEB-B611-F8578F22649B}"/>
    <cellStyle name="Title 2 2" xfId="1274" xr:uid="{05003000-EA53-4959-9146-ACD3B21D1CD9}"/>
    <cellStyle name="TNN" xfId="1164" xr:uid="{E4C9171B-003C-4969-8753-5B3C9FFEF93A}"/>
    <cellStyle name="Top Header" xfId="1281" xr:uid="{A0240A9B-C92E-4313-8576-D90C32B1E2CE}"/>
    <cellStyle name="Top Header 2" xfId="1285" xr:uid="{509906D0-589B-4772-8A52-D34ADE4E9140}"/>
    <cellStyle name="Total 2" xfId="1165" xr:uid="{6B23A64F-E612-4C58-A3C0-0AB0BB3100D3}"/>
    <cellStyle name="tt1" xfId="1166" xr:uid="{A950E800-8186-4C22-AD18-CA66E5B692E8}"/>
    <cellStyle name="Tusental (0)_pldt" xfId="1167" xr:uid="{C4F3C94F-2DA8-4E16-B4EC-FD8AC59ABE89}"/>
    <cellStyle name="Tusental_pldt" xfId="1168" xr:uid="{CC5DBEF3-9915-4BED-AB3C-306864546CB6}"/>
    <cellStyle name="ux_3_¼­¿ï-¾È»ê" xfId="1170" xr:uid="{794C69BB-8A19-45D7-B2C8-52A7B3B9395F}"/>
    <cellStyle name="Valuta (0)_pldt" xfId="1171" xr:uid="{D70B0DE1-1365-478E-9AD2-EC0595E117E0}"/>
    <cellStyle name="Valuta_pldt" xfId="1172" xr:uid="{581962B3-69CB-4F2C-A5AB-8871B2C70F31}"/>
    <cellStyle name="viet" xfId="1173" xr:uid="{49A32BBA-1CBC-4529-99AB-35797D5A7753}"/>
    <cellStyle name="viet2" xfId="1174" xr:uid="{37415215-F36D-49FC-ACC1-AC078E475B5D}"/>
    <cellStyle name="Vietnam 1" xfId="1175" xr:uid="{1DCB2A6C-0F6A-40A8-922B-2283A823EC45}"/>
    <cellStyle name="VN new romanNormal" xfId="1176" xr:uid="{581EC067-5CEA-4796-AA71-C28231F6A7C9}"/>
    <cellStyle name="vn time 10" xfId="1177" xr:uid="{D6651C5D-D19C-441D-82DE-DDA7946BE4ED}"/>
    <cellStyle name="VN time new roman" xfId="1178" xr:uid="{9D351804-E7B7-4BF3-AFEC-45874056B681}"/>
    <cellStyle name="vnhead1" xfId="1181" xr:uid="{665F9986-91C9-4727-8321-63A6E081FB6E}"/>
    <cellStyle name="vnhead3" xfId="1182" xr:uid="{00676996-5071-4D9C-9890-A0E1FB6B25E9}"/>
    <cellStyle name="vntxt1" xfId="1179" xr:uid="{C6A7E212-CE09-4F46-876F-F1D4C1D8E823}"/>
    <cellStyle name="vntxt2" xfId="1180" xr:uid="{ABCCEAD3-8C6D-4491-A335-E0422A69D9E0}"/>
    <cellStyle name="Währung [0]_ALLE_ITEMS_280800_EV_NL" xfId="1183" xr:uid="{1ACF6A91-A220-42F4-8E50-33AF2A2ADED9}"/>
    <cellStyle name="Währung_AKE_100N" xfId="1184" xr:uid="{C2DF3DF6-8A9A-48EC-BFD7-36A4FBEACCF0}"/>
    <cellStyle name="Walutowy [0]_Invoices2001Slovakia" xfId="1185" xr:uid="{147B16E0-34AA-4C53-ACB6-EBB74F840ED1}"/>
    <cellStyle name="Walutowy_Invoices2001Slovakia" xfId="1186" xr:uid="{597F167B-85A7-413C-A5C5-B214BACFE4B9}"/>
    <cellStyle name="Warning Text 2" xfId="1187" xr:uid="{E6A58AF7-09E4-4984-8930-62589D29F2B3}"/>
    <cellStyle name="xuan" xfId="1188" xr:uid="{0DC26A82-4E68-42B0-A42B-473945269F61}"/>
    <cellStyle name="Ý kh¸c_B¶ng 1 (2)" xfId="1189" xr:uid="{CE613347-09BC-4AAE-AD65-99553C485248}"/>
    <cellStyle name="เครื่องหมายสกุลเงิน [0]_FTC_OFFER" xfId="1190" xr:uid="{6CDA59AC-2B17-4CF8-AE4B-FE713D4AE25C}"/>
    <cellStyle name="เครื่องหมายสกุลเงิน_FTC_OFFER" xfId="1191" xr:uid="{553B69AB-05E0-46F4-B2AA-800DBB87016B}"/>
    <cellStyle name="ปกติ_FTC_OFFER" xfId="1192" xr:uid="{26334FB9-7EF9-4D5F-B087-CD85B9A212AF}"/>
    <cellStyle name=" [0.00]_ Att. 1- Cover" xfId="1193" xr:uid="{A91419F5-93BF-426B-895F-99CC01B2AD3C}"/>
    <cellStyle name="_ Att. 1- Cover" xfId="1194" xr:uid="{0B383D60-0AA5-499B-9BCE-F2739F2E968D}"/>
    <cellStyle name="?_ Att. 1- Cover" xfId="1195" xr:uid="{5C63E09D-3D90-452B-A08D-B547F13B6644}"/>
    <cellStyle name="똿뗦먛귟 [0.00]_PRODUCT DETAIL Q1" xfId="1196" xr:uid="{62F512C6-356B-472B-8594-97ADF23EBB86}"/>
    <cellStyle name="똿뗦먛귟_PRODUCT DETAIL Q1" xfId="1197" xr:uid="{30F5D038-B293-4387-9F38-D84E3E98D41B}"/>
    <cellStyle name="믅됞 [0.00]_PRODUCT DETAIL Q1" xfId="1198" xr:uid="{B07CDBB2-F8CC-4990-9CAE-0AB69A8A4BFF}"/>
    <cellStyle name="믅됞_PRODUCT DETAIL Q1" xfId="1199" xr:uid="{E4AC17C9-0F95-4F9E-8AB1-CF562160B9F1}"/>
    <cellStyle name="백분율_95" xfId="1200" xr:uid="{4E2C9F73-A9BF-476C-8B5A-60F0EB561531}"/>
    <cellStyle name="뷭?_BOOKSHIP" xfId="1201" xr:uid="{4EA8D276-3045-4D16-89E6-0959264F855A}"/>
    <cellStyle name="쉼표 [0]_PCS-3~1" xfId="1202" xr:uid="{FA4F3FB7-9E2C-470A-BBC8-055785DF9D9D}"/>
    <cellStyle name="쉼표_EQ_ROOM cost" xfId="1203" xr:uid="{AF351D5C-FFA2-445C-8D22-58AD4992948D}"/>
    <cellStyle name="콤마 [ - 유형1" xfId="1204" xr:uid="{86BD8BB6-C400-4F04-AD17-3B9899F8E31B}"/>
    <cellStyle name="콤마 [ - 유형2" xfId="1205" xr:uid="{DE759994-D138-4906-AFAD-EED4759B76BF}"/>
    <cellStyle name="콤마 [ - 유형3" xfId="1206" xr:uid="{373F42FD-5131-4279-AED4-8BAD736A9A9F}"/>
    <cellStyle name="콤마 [ - 유형4" xfId="1207" xr:uid="{C03B11B1-A077-4FA8-B031-08AE47822A5D}"/>
    <cellStyle name="콤마 [ - 유형5" xfId="1208" xr:uid="{BBE73DB3-33A2-4CF1-9C61-235F436CF2F6}"/>
    <cellStyle name="콤마 [ - 유형6" xfId="1209" xr:uid="{E326BD66-505C-45B2-91A4-4EA144AC2870}"/>
    <cellStyle name="콤마 [ - 유형7" xfId="1210" xr:uid="{547BFF05-ABB5-4101-B515-504D9E8C46C6}"/>
    <cellStyle name="콤마 [ - 유형8" xfId="1211" xr:uid="{56107B0F-F9C6-4B4E-8363-AE4BFC1009D4}"/>
    <cellStyle name="콤마 [0]_ 비목별 월별기술 " xfId="1212" xr:uid="{FB5D980F-4624-412A-8823-E06BC7E223A2}"/>
    <cellStyle name="콤마_ 비목별 월별기술 " xfId="1213" xr:uid="{52A8FC10-4742-465B-864F-3A36DF16768F}"/>
    <cellStyle name="통화 [0]_1" xfId="1214" xr:uid="{F4B97026-B669-4693-B011-D8C4B2F85E8A}"/>
    <cellStyle name="통화_1" xfId="1215" xr:uid="{60C96C2E-F610-47F2-AAC5-7E8189DD28B4}"/>
    <cellStyle name="표준_ 97년 경영분석(안)" xfId="1216" xr:uid="{E3F77D4F-3BF3-43E6-A1DE-BA4684A2E891}"/>
    <cellStyle name="표줠_Sheet1_1_총괄표 (수출입) (2)" xfId="1217" xr:uid="{C8FF332E-D66C-40C5-96E9-82356B801C7A}"/>
    <cellStyle name="一般_00Q3902REV.1" xfId="1218" xr:uid="{2F3E5B7E-7EAE-4AD4-B78A-53978B8E1D29}"/>
    <cellStyle name="中等" xfId="1219" xr:uid="{ED9B3F36-7BA8-4B24-B4FE-DC2057A78ECA}"/>
    <cellStyle name="備註" xfId="1220" xr:uid="{A548B931-7B72-4668-8FB4-6B1DD28564ED}"/>
    <cellStyle name="千分位[0]_00Q3902REV.1" xfId="1221" xr:uid="{807A8B0A-4F66-493C-81F8-6B7CF54C3A7C}"/>
    <cellStyle name="千分位_00Q3902REV.1" xfId="1222" xr:uid="{2526737F-94F1-4920-B9D2-64C248584441}"/>
    <cellStyle name="合計" xfId="1223" xr:uid="{104840D6-355C-4D96-8D3E-1B3943A96943}"/>
    <cellStyle name="壞" xfId="1224" xr:uid="{145E3474-A180-4ABE-BE33-68F2896D9982}"/>
    <cellStyle name="好" xfId="1225" xr:uid="{05311BA0-E4EC-4367-A4C6-9D25C6F4201A}"/>
    <cellStyle name="常规_j1" xfId="1226" xr:uid="{CCA38B42-791C-43C8-A34B-39B294F5828C}"/>
    <cellStyle name="桁区切り [0.00]_BE-BQ" xfId="1227" xr:uid="{ED70D1CC-C879-4543-B334-7FD05B7A315F}"/>
    <cellStyle name="桁区切り_BE-BQ" xfId="1228" xr:uid="{AFCD69A8-8E40-4C44-BC9F-E0FB25C9CE2A}"/>
    <cellStyle name="桁蟻唇Ｆ [0.00]_s-ns-bq" xfId="1229" xr:uid="{C6CE71C5-2281-4415-A0DB-75EAD75E6D83}"/>
    <cellStyle name="桁蟻唇Ｆ_s-ns-bq" xfId="1230" xr:uid="{9F32F399-AD09-4758-B828-9CF918613102}"/>
    <cellStyle name="標準_(A1)BOQ " xfId="1231" xr:uid="{5E6FCC76-9461-4612-A8DF-D1354BFA2C37}"/>
    <cellStyle name="標題" xfId="1232" xr:uid="{05C8FC03-EDC1-46FE-9D57-6855D8285DC3}"/>
    <cellStyle name="標題 1" xfId="1233" xr:uid="{0BF72C38-45D4-475A-A720-8EE17290C835}"/>
    <cellStyle name="標題 2" xfId="1234" xr:uid="{620A1D6B-28CF-4C44-AAB3-9923611FCEAB}"/>
    <cellStyle name="標題 3" xfId="1235" xr:uid="{969F7CBD-2A5B-4527-9267-C3B302072A33}"/>
    <cellStyle name="標題 4" xfId="1236" xr:uid="{123A3482-AAE5-4968-AAB3-33C29A1B9302}"/>
    <cellStyle name="檢查儲存格" xfId="1237" xr:uid="{5970BE18-A0C6-4F10-82C1-485B6DF56FD3}"/>
    <cellStyle name="脱浦 [0.00]_CONDITION (2)" xfId="1238" xr:uid="{57607D5C-633C-409C-9ADF-2AD77C0E0541}"/>
    <cellStyle name="脱浦_CONDITION (2)" xfId="1239" xr:uid="{3B8BC459-2381-4965-9A95-E16DA84BF65D}"/>
    <cellStyle name="計算方式" xfId="1240" xr:uid="{DDDD3AE5-14FB-4944-BA08-9A5BFB166F31}"/>
    <cellStyle name="說明文字" xfId="1241" xr:uid="{99DCB867-DF85-46C8-B8E2-8ED23B771101}"/>
    <cellStyle name="警告文字" xfId="1242" xr:uid="{4B99C4CC-28D4-4ADD-9EFF-B00345ABB069}"/>
    <cellStyle name="貨幣 [0]_00Q3902REV.1" xfId="1243" xr:uid="{A6C19184-6DBC-4201-8861-E5D19844DDEE}"/>
    <cellStyle name="貨幣[0]_BRE" xfId="1244" xr:uid="{247B2E81-D552-418E-BA68-A259F46787A5}"/>
    <cellStyle name="貨幣_00Q3902REV.1" xfId="1245" xr:uid="{D59B6EB9-43F2-41D3-8E58-4FBFC7B3788B}"/>
    <cellStyle name="超連結_Book1" xfId="1246" xr:uid="{7CC6922E-5500-45E1-840E-B16DDBE63F70}"/>
    <cellStyle name="輔色1" xfId="1247" xr:uid="{DD968F1C-B77C-4E1B-A5A5-55A8D885C348}"/>
    <cellStyle name="輔色2" xfId="1248" xr:uid="{1F2AB67D-AEF6-4D1F-96BE-D6F96EC5FC46}"/>
    <cellStyle name="輔色3" xfId="1249" xr:uid="{22249112-A05B-46DC-A097-C58489FBE2FD}"/>
    <cellStyle name="輔色4" xfId="1250" xr:uid="{014D786C-5C1B-46C1-BD0B-BA7760185273}"/>
    <cellStyle name="輔色5" xfId="1251" xr:uid="{1AC22AE1-3966-4A56-B52C-01AC76B8EBB9}"/>
    <cellStyle name="輔色6" xfId="1252" xr:uid="{CCE4B2FA-41FA-4367-B49B-951290D925C3}"/>
    <cellStyle name="輸入" xfId="1253" xr:uid="{5CD0A1D7-A413-43A8-8530-88B379316E12}"/>
    <cellStyle name="輸出" xfId="1254" xr:uid="{8243B51D-7F40-4169-8568-4E3D84185644}"/>
    <cellStyle name="通貨 [0.00]_BE-BQ" xfId="1255" xr:uid="{18DD340C-8CF4-4582-8EF9-A9C01AD727B1}"/>
    <cellStyle name="通貨_BE-BQ" xfId="1256" xr:uid="{3B036700-2777-4696-A9F1-2C60EC5C533D}"/>
    <cellStyle name="連結的儲存格" xfId="1257" xr:uid="{C2B01E6F-AD3A-4928-822D-717B7468A8B3}"/>
    <cellStyle name="隨後的超連結_Book1" xfId="1258" xr:uid="{C07F0933-9196-4046-93E9-4CBD9DE6597F}"/>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1894-B95E-48E7-BE10-DDD8E2B9190C}">
  <sheetPr>
    <outlinePr summaryBelow="0" summaryRight="0"/>
    <pageSetUpPr fitToPage="1"/>
  </sheetPr>
  <dimension ref="A1:R48"/>
  <sheetViews>
    <sheetView tabSelected="1" view="pageBreakPreview" zoomScaleNormal="100" zoomScaleSheetLayoutView="100" workbookViewId="0">
      <pane xSplit="2" ySplit="6" topLeftCell="C7" activePane="bottomRight" state="frozen"/>
      <selection pane="topRight" activeCell="C1" sqref="C1"/>
      <selection pane="bottomLeft" activeCell="A7" sqref="A7"/>
      <selection pane="bottomRight" activeCell="L34" sqref="L34"/>
    </sheetView>
  </sheetViews>
  <sheetFormatPr defaultColWidth="8.88671875" defaultRowHeight="13.8" outlineLevelRow="1"/>
  <cols>
    <col min="1" max="1" width="10.6640625" style="3" customWidth="1"/>
    <col min="2" max="2" width="60.6640625" style="4" customWidth="1"/>
    <col min="3" max="3" width="10.6640625" style="7" customWidth="1"/>
    <col min="4" max="4" width="15.6640625" style="7" customWidth="1"/>
    <col min="5" max="5" width="20.6640625" style="32" customWidth="1"/>
    <col min="6" max="7" width="15.6640625" style="8" customWidth="1"/>
    <col min="8" max="9" width="20.6640625" style="7" customWidth="1"/>
    <col min="10" max="10" width="15.77734375" style="4" customWidth="1"/>
    <col min="11" max="11" width="17.5546875" style="7" customWidth="1"/>
    <col min="12" max="12" width="16.88671875" style="7" customWidth="1"/>
    <col min="13" max="13" width="15.5546875" style="4" bestFit="1" customWidth="1"/>
    <col min="14" max="14" width="18.88671875" style="4" bestFit="1" customWidth="1"/>
    <col min="15" max="16384" width="8.88671875" style="4"/>
  </cols>
  <sheetData>
    <row r="1" spans="1:14" s="1" customFormat="1" ht="29.1" customHeight="1">
      <c r="A1" s="209" t="s">
        <v>67</v>
      </c>
      <c r="B1" s="209"/>
      <c r="C1" s="209"/>
      <c r="D1" s="209"/>
      <c r="E1" s="209"/>
      <c r="F1" s="209"/>
      <c r="G1" s="209"/>
      <c r="H1" s="209"/>
      <c r="I1" s="209"/>
      <c r="J1" s="209"/>
      <c r="K1" s="11"/>
      <c r="L1" s="11"/>
    </row>
    <row r="2" spans="1:14" s="1" customFormat="1" ht="29.1" customHeight="1">
      <c r="A2" s="210" t="s">
        <v>187</v>
      </c>
      <c r="B2" s="210"/>
      <c r="C2" s="210"/>
      <c r="D2" s="210"/>
      <c r="E2" s="210"/>
      <c r="F2" s="210"/>
      <c r="G2" s="210"/>
      <c r="H2" s="210"/>
      <c r="I2" s="210"/>
      <c r="J2" s="210"/>
      <c r="K2" s="11"/>
      <c r="L2" s="11"/>
    </row>
    <row r="3" spans="1:14" s="1" customFormat="1" ht="38.1" customHeight="1">
      <c r="A3" s="211" t="s">
        <v>200</v>
      </c>
      <c r="B3" s="211"/>
      <c r="C3" s="211"/>
      <c r="D3" s="211"/>
      <c r="E3" s="211"/>
      <c r="F3" s="211"/>
      <c r="G3" s="211"/>
      <c r="H3" s="211"/>
      <c r="I3" s="211"/>
      <c r="J3" s="211"/>
      <c r="K3" s="11"/>
      <c r="L3" s="11"/>
    </row>
    <row r="4" spans="1:14" s="1" customFormat="1" ht="13.35" customHeight="1">
      <c r="A4" s="26"/>
      <c r="B4" s="27"/>
      <c r="C4" s="28"/>
      <c r="D4" s="28"/>
      <c r="E4" s="31"/>
      <c r="F4" s="25"/>
      <c r="G4" s="25"/>
      <c r="H4" s="29"/>
      <c r="I4" s="30"/>
      <c r="J4" s="26"/>
      <c r="K4" s="11"/>
      <c r="L4" s="11"/>
    </row>
    <row r="5" spans="1:14" s="2" customFormat="1" ht="30" customHeight="1">
      <c r="A5" s="212" t="s">
        <v>68</v>
      </c>
      <c r="B5" s="213"/>
      <c r="C5" s="213"/>
      <c r="D5" s="213"/>
      <c r="E5" s="213"/>
      <c r="F5" s="213"/>
      <c r="G5" s="213"/>
      <c r="H5" s="213"/>
      <c r="I5" s="213"/>
      <c r="J5" s="214"/>
      <c r="K5" s="12"/>
      <c r="L5" s="12"/>
    </row>
    <row r="6" spans="1:14" ht="50.1" customHeight="1">
      <c r="A6" s="67" t="s">
        <v>0</v>
      </c>
      <c r="B6" s="68" t="s">
        <v>1</v>
      </c>
      <c r="C6" s="69" t="s">
        <v>54</v>
      </c>
      <c r="D6" s="69" t="s">
        <v>3</v>
      </c>
      <c r="E6" s="70" t="s">
        <v>23</v>
      </c>
      <c r="F6" s="69" t="s">
        <v>24</v>
      </c>
      <c r="G6" s="69" t="s">
        <v>55</v>
      </c>
      <c r="H6" s="71" t="s">
        <v>26</v>
      </c>
      <c r="I6" s="70" t="s">
        <v>25</v>
      </c>
      <c r="J6" s="72" t="s">
        <v>2</v>
      </c>
      <c r="K6" s="13"/>
      <c r="L6" s="13"/>
      <c r="M6" s="10"/>
    </row>
    <row r="7" spans="1:14" ht="30" customHeight="1" collapsed="1">
      <c r="A7" s="73" t="s">
        <v>9</v>
      </c>
      <c r="B7" s="74" t="s">
        <v>8</v>
      </c>
      <c r="C7" s="75">
        <f>SUM(C8:C19)</f>
        <v>1</v>
      </c>
      <c r="D7" s="76"/>
      <c r="E7" s="76">
        <f>SUM(E8:E19)</f>
        <v>1250000000</v>
      </c>
      <c r="F7" s="77"/>
      <c r="G7" s="77"/>
      <c r="H7" s="77">
        <f>SUM(H8:H19)</f>
        <v>1350000000</v>
      </c>
      <c r="I7" s="187">
        <f>SUM(I8:I19)</f>
        <v>135000000</v>
      </c>
      <c r="J7" s="179"/>
      <c r="N7" s="16"/>
    </row>
    <row r="8" spans="1:14" ht="24.9" hidden="1" customHeight="1" outlineLevel="1">
      <c r="A8" s="78">
        <v>1</v>
      </c>
      <c r="B8" s="79" t="s">
        <v>189</v>
      </c>
      <c r="C8" s="80">
        <v>0.1</v>
      </c>
      <c r="D8" s="81" t="s">
        <v>71</v>
      </c>
      <c r="E8" s="81">
        <v>125000000</v>
      </c>
      <c r="F8" s="81">
        <v>0</v>
      </c>
      <c r="G8" s="82">
        <v>0.08</v>
      </c>
      <c r="H8" s="83">
        <f t="shared" ref="H8:H15" si="0">E8*(1+G8)</f>
        <v>135000000</v>
      </c>
      <c r="I8" s="84">
        <f>H8</f>
        <v>135000000</v>
      </c>
      <c r="J8" s="186">
        <v>46204</v>
      </c>
      <c r="K8" s="118"/>
      <c r="L8" s="118"/>
    </row>
    <row r="9" spans="1:14" ht="24.9" hidden="1" customHeight="1" outlineLevel="1">
      <c r="A9" s="78">
        <v>2</v>
      </c>
      <c r="B9" s="79" t="s">
        <v>190</v>
      </c>
      <c r="C9" s="80">
        <v>0.1</v>
      </c>
      <c r="D9" s="81" t="s">
        <v>71</v>
      </c>
      <c r="E9" s="81">
        <v>125000000</v>
      </c>
      <c r="F9" s="81">
        <v>0</v>
      </c>
      <c r="G9" s="82">
        <v>0.08</v>
      </c>
      <c r="H9" s="83">
        <f t="shared" si="0"/>
        <v>135000000</v>
      </c>
      <c r="I9" s="84">
        <v>0</v>
      </c>
      <c r="J9" s="180"/>
      <c r="K9" s="118"/>
      <c r="L9" s="118"/>
    </row>
    <row r="10" spans="1:14" ht="40.049999999999997" hidden="1" customHeight="1" outlineLevel="1">
      <c r="A10" s="78">
        <v>3</v>
      </c>
      <c r="B10" s="79" t="s">
        <v>191</v>
      </c>
      <c r="C10" s="80">
        <v>0.05</v>
      </c>
      <c r="D10" s="81" t="s">
        <v>71</v>
      </c>
      <c r="E10" s="81">
        <v>62500000</v>
      </c>
      <c r="F10" s="81">
        <v>0</v>
      </c>
      <c r="G10" s="82">
        <v>0.08</v>
      </c>
      <c r="H10" s="83">
        <f t="shared" si="0"/>
        <v>67500000</v>
      </c>
      <c r="I10" s="84">
        <v>0</v>
      </c>
      <c r="J10" s="180"/>
      <c r="K10" s="118"/>
      <c r="L10" s="118"/>
    </row>
    <row r="11" spans="1:14" ht="40.049999999999997" hidden="1" customHeight="1" outlineLevel="1">
      <c r="A11" s="78">
        <v>4</v>
      </c>
      <c r="B11" s="79" t="s">
        <v>192</v>
      </c>
      <c r="C11" s="80">
        <v>0.1</v>
      </c>
      <c r="D11" s="81" t="s">
        <v>71</v>
      </c>
      <c r="E11" s="81">
        <v>125000000</v>
      </c>
      <c r="F11" s="81">
        <v>0</v>
      </c>
      <c r="G11" s="82">
        <v>0.08</v>
      </c>
      <c r="H11" s="83">
        <f t="shared" si="0"/>
        <v>135000000</v>
      </c>
      <c r="I11" s="84">
        <v>0</v>
      </c>
      <c r="J11" s="180"/>
      <c r="K11" s="118"/>
      <c r="L11" s="118"/>
    </row>
    <row r="12" spans="1:14" ht="40.049999999999997" hidden="1" customHeight="1" outlineLevel="1">
      <c r="A12" s="78">
        <v>5</v>
      </c>
      <c r="B12" s="79" t="s">
        <v>193</v>
      </c>
      <c r="C12" s="80">
        <v>0.1</v>
      </c>
      <c r="D12" s="81" t="s">
        <v>71</v>
      </c>
      <c r="E12" s="81">
        <v>125000000</v>
      </c>
      <c r="F12" s="81">
        <v>0</v>
      </c>
      <c r="G12" s="82">
        <v>0.08</v>
      </c>
      <c r="H12" s="83">
        <f t="shared" si="0"/>
        <v>135000000</v>
      </c>
      <c r="I12" s="84">
        <v>0</v>
      </c>
      <c r="J12" s="180"/>
      <c r="K12" s="118"/>
      <c r="L12" s="118"/>
    </row>
    <row r="13" spans="1:14" ht="24.9" hidden="1" customHeight="1" outlineLevel="1">
      <c r="A13" s="78">
        <v>6</v>
      </c>
      <c r="B13" s="79" t="s">
        <v>194</v>
      </c>
      <c r="C13" s="80">
        <v>0.1</v>
      </c>
      <c r="D13" s="81" t="s">
        <v>71</v>
      </c>
      <c r="E13" s="81">
        <v>125000000</v>
      </c>
      <c r="F13" s="81">
        <v>0</v>
      </c>
      <c r="G13" s="82">
        <v>0.08</v>
      </c>
      <c r="H13" s="83">
        <f t="shared" si="0"/>
        <v>135000000</v>
      </c>
      <c r="I13" s="84">
        <v>0</v>
      </c>
      <c r="J13" s="180"/>
      <c r="K13" s="118"/>
      <c r="L13" s="118"/>
    </row>
    <row r="14" spans="1:14" ht="24.9" hidden="1" customHeight="1" outlineLevel="1">
      <c r="A14" s="78">
        <v>7</v>
      </c>
      <c r="B14" s="79" t="s">
        <v>195</v>
      </c>
      <c r="C14" s="80">
        <v>0.05</v>
      </c>
      <c r="D14" s="81" t="s">
        <v>71</v>
      </c>
      <c r="E14" s="81">
        <v>62500000</v>
      </c>
      <c r="F14" s="81">
        <v>0</v>
      </c>
      <c r="G14" s="82">
        <v>0.08</v>
      </c>
      <c r="H14" s="83">
        <f t="shared" si="0"/>
        <v>67500000</v>
      </c>
      <c r="I14" s="84">
        <v>0</v>
      </c>
      <c r="J14" s="180"/>
      <c r="K14" s="118"/>
      <c r="L14" s="118"/>
    </row>
    <row r="15" spans="1:14" ht="40.049999999999997" hidden="1" customHeight="1" outlineLevel="1">
      <c r="A15" s="78">
        <v>8</v>
      </c>
      <c r="B15" s="79" t="s">
        <v>196</v>
      </c>
      <c r="C15" s="80">
        <v>0.1</v>
      </c>
      <c r="D15" s="81" t="s">
        <v>71</v>
      </c>
      <c r="E15" s="81">
        <v>125000000</v>
      </c>
      <c r="F15" s="81">
        <v>0</v>
      </c>
      <c r="G15" s="82">
        <v>0.08</v>
      </c>
      <c r="H15" s="83">
        <f t="shared" si="0"/>
        <v>135000000</v>
      </c>
      <c r="I15" s="84">
        <v>0</v>
      </c>
      <c r="J15" s="180"/>
      <c r="K15" s="118"/>
      <c r="L15" s="118"/>
    </row>
    <row r="16" spans="1:14" ht="24.9" hidden="1" customHeight="1" outlineLevel="1">
      <c r="A16" s="78">
        <v>9</v>
      </c>
      <c r="B16" s="79" t="s">
        <v>198</v>
      </c>
      <c r="C16" s="80">
        <v>0.05</v>
      </c>
      <c r="D16" s="81" t="s">
        <v>71</v>
      </c>
      <c r="E16" s="81">
        <v>62500000</v>
      </c>
      <c r="F16" s="81">
        <v>0</v>
      </c>
      <c r="G16" s="82">
        <v>0.08</v>
      </c>
      <c r="H16" s="83">
        <f>E16*(1+G16)</f>
        <v>67500000</v>
      </c>
      <c r="I16" s="84">
        <v>0</v>
      </c>
      <c r="J16" s="180"/>
      <c r="K16" s="118"/>
      <c r="L16" s="118"/>
    </row>
    <row r="17" spans="1:14" ht="24.9" hidden="1" customHeight="1" outlineLevel="1">
      <c r="A17" s="78">
        <v>10</v>
      </c>
      <c r="B17" s="79" t="s">
        <v>199</v>
      </c>
      <c r="C17" s="80">
        <v>0.05</v>
      </c>
      <c r="D17" s="81"/>
      <c r="E17" s="81">
        <v>62500000</v>
      </c>
      <c r="F17" s="81"/>
      <c r="G17" s="82">
        <v>0.08</v>
      </c>
      <c r="H17" s="83">
        <f>E17*(1+G17)</f>
        <v>67500000</v>
      </c>
      <c r="I17" s="84"/>
      <c r="J17" s="180"/>
      <c r="K17" s="118"/>
      <c r="L17" s="118"/>
    </row>
    <row r="18" spans="1:14" ht="24.9" hidden="1" customHeight="1" outlineLevel="1">
      <c r="A18" s="78">
        <v>11</v>
      </c>
      <c r="B18" s="79" t="s">
        <v>197</v>
      </c>
      <c r="C18" s="80">
        <v>0.1</v>
      </c>
      <c r="D18" s="81"/>
      <c r="E18" s="81">
        <v>125000000</v>
      </c>
      <c r="F18" s="81"/>
      <c r="G18" s="82">
        <v>0.08</v>
      </c>
      <c r="H18" s="83">
        <f>E18*(1+G18)</f>
        <v>135000000</v>
      </c>
      <c r="I18" s="84"/>
      <c r="J18" s="180"/>
      <c r="K18" s="118"/>
      <c r="L18" s="118"/>
    </row>
    <row r="19" spans="1:14" ht="24.9" hidden="1" customHeight="1" outlineLevel="1">
      <c r="A19" s="78">
        <v>12</v>
      </c>
      <c r="B19" s="79" t="s">
        <v>86</v>
      </c>
      <c r="C19" s="80">
        <v>0.1</v>
      </c>
      <c r="D19" s="81" t="s">
        <v>71</v>
      </c>
      <c r="E19" s="81">
        <v>125000000</v>
      </c>
      <c r="F19" s="81">
        <v>0</v>
      </c>
      <c r="G19" s="82">
        <v>0.08</v>
      </c>
      <c r="H19" s="83">
        <f>E19*(1+G19)</f>
        <v>135000000</v>
      </c>
      <c r="I19" s="84">
        <v>0</v>
      </c>
      <c r="J19" s="180"/>
      <c r="K19" s="118"/>
      <c r="L19" s="118"/>
    </row>
    <row r="20" spans="1:14" ht="30" customHeight="1" collapsed="1">
      <c r="A20" s="73" t="s">
        <v>10</v>
      </c>
      <c r="B20" s="74" t="s">
        <v>13</v>
      </c>
      <c r="C20" s="76"/>
      <c r="D20" s="76"/>
      <c r="E20" s="76">
        <f>SUM(E21,E23,E26,E28)</f>
        <v>932599650</v>
      </c>
      <c r="F20" s="77"/>
      <c r="G20" s="77"/>
      <c r="H20" s="77">
        <f>SUM(H21,H23,H26,H28)</f>
        <v>0</v>
      </c>
      <c r="I20" s="187">
        <f>SUM(I21,I23,I26,I28)</f>
        <v>88291289.999999985</v>
      </c>
      <c r="J20" s="179"/>
      <c r="N20" s="16"/>
    </row>
    <row r="21" spans="1:14" ht="30" hidden="1" customHeight="1" outlineLevel="1" collapsed="1">
      <c r="A21" s="73" t="s">
        <v>11</v>
      </c>
      <c r="B21" s="74" t="s">
        <v>14</v>
      </c>
      <c r="C21" s="76"/>
      <c r="D21" s="76"/>
      <c r="E21" s="76">
        <f>SUBTOTAL(9,E22)</f>
        <v>0</v>
      </c>
      <c r="F21" s="77"/>
      <c r="G21" s="77"/>
      <c r="H21" s="77">
        <f>SUBTOTAL(9,H22:H22)</f>
        <v>0</v>
      </c>
      <c r="I21" s="77">
        <f>SUBTOTAL(9,I22:I22)</f>
        <v>0</v>
      </c>
      <c r="J21" s="179"/>
    </row>
    <row r="22" spans="1:14" s="5" customFormat="1" ht="24.9" hidden="1" customHeight="1" outlineLevel="1">
      <c r="A22" s="78"/>
      <c r="B22" s="79"/>
      <c r="C22" s="81"/>
      <c r="D22" s="81"/>
      <c r="E22" s="81">
        <v>0</v>
      </c>
      <c r="F22" s="84"/>
      <c r="G22" s="84"/>
      <c r="H22" s="84">
        <v>0</v>
      </c>
      <c r="I22" s="84">
        <v>0</v>
      </c>
      <c r="J22" s="180"/>
      <c r="K22" s="14"/>
      <c r="L22" s="7"/>
    </row>
    <row r="23" spans="1:14" s="6" customFormat="1" ht="30" hidden="1" customHeight="1" outlineLevel="1">
      <c r="A23" s="73" t="s">
        <v>69</v>
      </c>
      <c r="B23" s="74" t="s">
        <v>15</v>
      </c>
      <c r="C23" s="76"/>
      <c r="D23" s="76"/>
      <c r="E23" s="76">
        <f>SUBTOTAL(9,E24:E25)</f>
        <v>382200340</v>
      </c>
      <c r="F23" s="77"/>
      <c r="G23" s="77"/>
      <c r="H23" s="77" t="s">
        <v>71</v>
      </c>
      <c r="I23" s="77">
        <f>SUBTOTAL(9,I24:I25)</f>
        <v>63700056.666666664</v>
      </c>
      <c r="J23" s="179"/>
      <c r="K23" s="15"/>
      <c r="L23" s="33"/>
    </row>
    <row r="24" spans="1:14" ht="24.9" hidden="1" customHeight="1" outlineLevel="1">
      <c r="A24" s="78" t="s">
        <v>70</v>
      </c>
      <c r="B24" s="79" t="s">
        <v>5</v>
      </c>
      <c r="C24" s="76"/>
      <c r="D24" s="76"/>
      <c r="E24" s="81">
        <f>'LHA_ChiPhiDuAn-Overhead'!Q6</f>
        <v>382200340</v>
      </c>
      <c r="F24" s="77"/>
      <c r="G24" s="77"/>
      <c r="H24" s="84" t="s">
        <v>71</v>
      </c>
      <c r="I24" s="84">
        <f>'LHA_ChiPhiDuAn-Overhead'!Q6 * 1/6</f>
        <v>63700056.666666664</v>
      </c>
      <c r="J24" s="181"/>
      <c r="L24" s="34"/>
      <c r="M24" s="35"/>
      <c r="N24" s="36"/>
    </row>
    <row r="25" spans="1:14" ht="24.9" hidden="1" customHeight="1" outlineLevel="1">
      <c r="A25" s="78"/>
      <c r="B25" s="74"/>
      <c r="C25" s="76"/>
      <c r="D25" s="76"/>
      <c r="E25" s="76"/>
      <c r="F25" s="77"/>
      <c r="G25" s="77"/>
      <c r="H25" s="85"/>
      <c r="I25" s="77"/>
      <c r="J25" s="179"/>
      <c r="L25" s="34"/>
    </row>
    <row r="26" spans="1:14" s="6" customFormat="1" ht="30" hidden="1" customHeight="1" outlineLevel="1">
      <c r="A26" s="73" t="s">
        <v>12</v>
      </c>
      <c r="B26" s="74" t="s">
        <v>18</v>
      </c>
      <c r="C26" s="76"/>
      <c r="D26" s="76"/>
      <c r="E26" s="76">
        <f>SUBTOTAL(9,E27:E27)</f>
        <v>425399309.99999994</v>
      </c>
      <c r="F26" s="77"/>
      <c r="G26" s="77"/>
      <c r="H26" s="77">
        <f>SUBTOTAL(9,H27:H27)</f>
        <v>0</v>
      </c>
      <c r="I26" s="77">
        <f>SUBTOTAL(9,I27:I27)</f>
        <v>22507900</v>
      </c>
      <c r="J26" s="179"/>
      <c r="K26" s="15"/>
      <c r="L26" s="15"/>
    </row>
    <row r="27" spans="1:14" ht="60" hidden="1" customHeight="1" outlineLevel="1">
      <c r="A27" s="78" t="s">
        <v>16</v>
      </c>
      <c r="B27" s="79" t="s">
        <v>49</v>
      </c>
      <c r="C27" s="81"/>
      <c r="D27" s="81"/>
      <c r="E27" s="81">
        <f>'LHA_ChiPhiDuAn-Overhead'!Q18</f>
        <v>425399309.99999994</v>
      </c>
      <c r="F27" s="84"/>
      <c r="G27" s="84"/>
      <c r="H27" s="84"/>
      <c r="I27" s="84">
        <f>'CP_VP-Overhead'!F44*1</f>
        <v>22507900</v>
      </c>
      <c r="J27" s="180"/>
    </row>
    <row r="28" spans="1:14" s="6" customFormat="1" ht="30" hidden="1" customHeight="1" outlineLevel="1">
      <c r="A28" s="73" t="s">
        <v>17</v>
      </c>
      <c r="B28" s="74" t="s">
        <v>19</v>
      </c>
      <c r="C28" s="75">
        <v>0.1</v>
      </c>
      <c r="D28" s="75"/>
      <c r="E28" s="76">
        <f>E7*C28</f>
        <v>125000000</v>
      </c>
      <c r="F28" s="77"/>
      <c r="G28" s="77"/>
      <c r="H28" s="77" t="s">
        <v>71</v>
      </c>
      <c r="I28" s="77">
        <f>SUM(I29:I31)</f>
        <v>2083333.3333333333</v>
      </c>
      <c r="J28" s="179"/>
      <c r="K28" s="15"/>
      <c r="L28" s="15"/>
    </row>
    <row r="29" spans="1:14" ht="24.9" hidden="1" customHeight="1" outlineLevel="1">
      <c r="A29" s="78"/>
      <c r="B29" s="79" t="s">
        <v>83</v>
      </c>
      <c r="C29" s="80">
        <v>0.3</v>
      </c>
      <c r="D29" s="81"/>
      <c r="E29" s="81">
        <f>E28*C29</f>
        <v>37500000</v>
      </c>
      <c r="F29" s="77"/>
      <c r="G29" s="77"/>
      <c r="H29" s="85"/>
      <c r="I29" s="84">
        <v>0</v>
      </c>
      <c r="J29" s="179"/>
    </row>
    <row r="30" spans="1:14" ht="24.9" hidden="1" customHeight="1" outlineLevel="1">
      <c r="A30" s="78"/>
      <c r="B30" s="79" t="s">
        <v>90</v>
      </c>
      <c r="C30" s="80">
        <v>0.1</v>
      </c>
      <c r="D30" s="81"/>
      <c r="E30" s="81">
        <f>C30*E28</f>
        <v>12500000</v>
      </c>
      <c r="F30" s="77"/>
      <c r="G30" s="77"/>
      <c r="H30" s="85"/>
      <c r="I30" s="84">
        <f>E30*(1/6)</f>
        <v>2083333.3333333333</v>
      </c>
      <c r="J30" s="179"/>
    </row>
    <row r="31" spans="1:14" ht="24.9" hidden="1" customHeight="1" outlineLevel="1">
      <c r="A31" s="78"/>
      <c r="B31" s="79" t="s">
        <v>85</v>
      </c>
      <c r="C31" s="80">
        <f>100%-C29-C30</f>
        <v>0.6</v>
      </c>
      <c r="D31" s="81"/>
      <c r="E31" s="81">
        <f>C31*E28</f>
        <v>75000000</v>
      </c>
      <c r="F31" s="77"/>
      <c r="G31" s="77"/>
      <c r="H31" s="85"/>
      <c r="I31" s="84">
        <v>0</v>
      </c>
      <c r="J31" s="179"/>
    </row>
    <row r="32" spans="1:14" ht="30" customHeight="1" collapsed="1">
      <c r="A32" s="73" t="s">
        <v>20</v>
      </c>
      <c r="B32" s="74" t="s">
        <v>22</v>
      </c>
      <c r="C32" s="76"/>
      <c r="D32" s="76"/>
      <c r="E32" s="76">
        <f>E7-E20</f>
        <v>317400350</v>
      </c>
      <c r="F32" s="77"/>
      <c r="G32" s="77"/>
      <c r="H32" s="77"/>
      <c r="I32" s="187">
        <f>I7-I20</f>
        <v>46708710.000000015</v>
      </c>
      <c r="J32" s="180"/>
      <c r="L32" s="18"/>
      <c r="M32" s="19"/>
    </row>
    <row r="33" spans="1:18" ht="30" customHeight="1">
      <c r="A33" s="73" t="s">
        <v>21</v>
      </c>
      <c r="B33" s="74" t="s">
        <v>50</v>
      </c>
      <c r="C33" s="76"/>
      <c r="D33" s="76"/>
      <c r="E33" s="86">
        <f>E32/E7</f>
        <v>0.25392028</v>
      </c>
      <c r="F33" s="86"/>
      <c r="G33" s="86"/>
      <c r="H33" s="86"/>
      <c r="I33" s="188">
        <f>I32/I7</f>
        <v>0.34599044444444454</v>
      </c>
      <c r="J33" s="182"/>
      <c r="L33" s="18"/>
      <c r="M33" s="24"/>
    </row>
    <row r="34" spans="1:18" s="17" customFormat="1" ht="30" customHeight="1" collapsed="1">
      <c r="A34" s="87" t="s">
        <v>51</v>
      </c>
      <c r="B34" s="88" t="s">
        <v>53</v>
      </c>
      <c r="C34" s="89">
        <v>0.2</v>
      </c>
      <c r="D34" s="76"/>
      <c r="E34" s="76">
        <f>ROUND(C34*E32,-6)</f>
        <v>63000000</v>
      </c>
      <c r="F34" s="77"/>
      <c r="G34" s="77"/>
      <c r="H34" s="77"/>
      <c r="I34" s="191">
        <f>C34*I32</f>
        <v>9341742.0000000037</v>
      </c>
      <c r="J34" s="182"/>
      <c r="L34" s="18"/>
      <c r="M34" s="19"/>
    </row>
    <row r="35" spans="1:18" s="21" customFormat="1" ht="120" hidden="1" customHeight="1" outlineLevel="1">
      <c r="A35" s="90" t="s">
        <v>56</v>
      </c>
      <c r="B35" s="91" t="s">
        <v>76</v>
      </c>
      <c r="C35" s="92">
        <v>0.2</v>
      </c>
      <c r="D35" s="93"/>
      <c r="E35" s="93">
        <f>ROUND(C35*$E$34,-6)</f>
        <v>13000000</v>
      </c>
      <c r="F35" s="94"/>
      <c r="G35" s="93"/>
      <c r="H35" s="95"/>
      <c r="I35" s="96"/>
      <c r="J35" s="183"/>
      <c r="K35" s="20"/>
      <c r="L35" s="18"/>
      <c r="Q35" s="22"/>
    </row>
    <row r="36" spans="1:18" s="21" customFormat="1" ht="120" hidden="1" customHeight="1" outlineLevel="1">
      <c r="A36" s="90" t="s">
        <v>57</v>
      </c>
      <c r="B36" s="91" t="s">
        <v>77</v>
      </c>
      <c r="C36" s="98">
        <v>0.25</v>
      </c>
      <c r="D36" s="93"/>
      <c r="E36" s="93">
        <f>ROUND(C36*$E$34,-6)</f>
        <v>16000000</v>
      </c>
      <c r="F36" s="94"/>
      <c r="G36" s="93"/>
      <c r="H36" s="95"/>
      <c r="I36" s="96"/>
      <c r="J36" s="183"/>
      <c r="K36" s="20"/>
      <c r="L36" s="18"/>
    </row>
    <row r="37" spans="1:18" s="21" customFormat="1" ht="120" hidden="1" customHeight="1" outlineLevel="1">
      <c r="A37" s="90" t="s">
        <v>58</v>
      </c>
      <c r="B37" s="91" t="s">
        <v>78</v>
      </c>
      <c r="C37" s="98">
        <v>0.25</v>
      </c>
      <c r="D37" s="93"/>
      <c r="E37" s="93">
        <f>ROUND(C37*$E$34,-6)</f>
        <v>16000000</v>
      </c>
      <c r="F37" s="94"/>
      <c r="G37" s="93"/>
      <c r="H37" s="95"/>
      <c r="I37" s="96"/>
      <c r="J37" s="183"/>
      <c r="K37" s="20"/>
      <c r="L37" s="18"/>
    </row>
    <row r="38" spans="1:18" s="21" customFormat="1" ht="120" hidden="1" customHeight="1" outlineLevel="1">
      <c r="A38" s="90" t="s">
        <v>59</v>
      </c>
      <c r="B38" s="91" t="s">
        <v>79</v>
      </c>
      <c r="C38" s="92">
        <v>0.25</v>
      </c>
      <c r="D38" s="93"/>
      <c r="E38" s="93">
        <f t="shared" ref="E38:E39" si="1">ROUND(C38*$E$34,-6)</f>
        <v>16000000</v>
      </c>
      <c r="F38" s="94"/>
      <c r="G38" s="93"/>
      <c r="H38" s="95"/>
      <c r="I38" s="96"/>
      <c r="J38" s="183"/>
      <c r="K38" s="20"/>
      <c r="L38" s="18"/>
    </row>
    <row r="39" spans="1:18" s="21" customFormat="1" ht="249.9" hidden="1" customHeight="1" outlineLevel="1">
      <c r="A39" s="90" t="s">
        <v>60</v>
      </c>
      <c r="B39" s="91" t="s">
        <v>80</v>
      </c>
      <c r="C39" s="92">
        <v>0.35</v>
      </c>
      <c r="D39" s="93"/>
      <c r="E39" s="93">
        <f t="shared" si="1"/>
        <v>22000000</v>
      </c>
      <c r="F39" s="94"/>
      <c r="G39" s="93"/>
      <c r="H39" s="95"/>
      <c r="I39" s="96"/>
      <c r="J39" s="183"/>
      <c r="K39" s="20"/>
      <c r="L39" s="37"/>
    </row>
    <row r="40" spans="1:18" s="21" customFormat="1" ht="24.9" hidden="1" customHeight="1" outlineLevel="1">
      <c r="A40" s="99"/>
      <c r="B40" s="100"/>
      <c r="C40" s="97"/>
      <c r="D40" s="93"/>
      <c r="E40" s="93"/>
      <c r="F40" s="94"/>
      <c r="G40" s="93"/>
      <c r="H40" s="95"/>
      <c r="I40" s="96"/>
      <c r="J40" s="183"/>
      <c r="K40" s="20"/>
      <c r="L40" s="37"/>
      <c r="R40" s="38"/>
    </row>
    <row r="41" spans="1:18" s="21" customFormat="1" ht="30" customHeight="1" collapsed="1">
      <c r="A41" s="101" t="s">
        <v>52</v>
      </c>
      <c r="B41" s="102" t="s">
        <v>22</v>
      </c>
      <c r="C41" s="93"/>
      <c r="D41" s="93"/>
      <c r="E41" s="93">
        <f>E32-E34</f>
        <v>254400350</v>
      </c>
      <c r="F41" s="94"/>
      <c r="G41" s="93"/>
      <c r="H41" s="94"/>
      <c r="I41" s="189">
        <f>I32-I34</f>
        <v>37366968.000000015</v>
      </c>
      <c r="J41" s="184"/>
      <c r="L41" s="37"/>
      <c r="O41" s="39"/>
      <c r="R41" s="40"/>
    </row>
    <row r="42" spans="1:18" s="21" customFormat="1" ht="30" customHeight="1">
      <c r="A42" s="103" t="s">
        <v>61</v>
      </c>
      <c r="B42" s="104" t="s">
        <v>62</v>
      </c>
      <c r="C42" s="105"/>
      <c r="D42" s="105"/>
      <c r="E42" s="106">
        <f>E41/E7</f>
        <v>0.20352028</v>
      </c>
      <c r="F42" s="107"/>
      <c r="G42" s="108"/>
      <c r="H42" s="109"/>
      <c r="I42" s="190">
        <f>I41/I7</f>
        <v>0.27679235555555565</v>
      </c>
      <c r="J42" s="185"/>
      <c r="L42" s="37"/>
      <c r="O42" s="41"/>
    </row>
    <row r="43" spans="1:18" s="21" customFormat="1" ht="24.9" customHeight="1">
      <c r="A43" s="110"/>
      <c r="B43" s="111"/>
      <c r="C43" s="112"/>
      <c r="D43" s="113"/>
      <c r="E43" s="114"/>
      <c r="F43" s="113"/>
      <c r="G43" s="114"/>
      <c r="H43" s="113"/>
      <c r="I43" s="113"/>
      <c r="J43" s="115"/>
      <c r="L43" s="37"/>
      <c r="R43" s="38"/>
    </row>
    <row r="44" spans="1:18" s="21" customFormat="1" ht="30" customHeight="1">
      <c r="A44" s="215" t="s">
        <v>6</v>
      </c>
      <c r="B44" s="215"/>
      <c r="C44" s="215"/>
      <c r="D44" s="215"/>
      <c r="E44" s="215"/>
      <c r="F44" s="215"/>
      <c r="G44" s="215"/>
      <c r="H44" s="215"/>
      <c r="I44" s="215"/>
      <c r="J44" s="215"/>
      <c r="L44" s="37"/>
      <c r="R44" s="42"/>
    </row>
    <row r="45" spans="1:18" ht="24.9" customHeight="1">
      <c r="A45" s="205" t="s">
        <v>63</v>
      </c>
      <c r="B45" s="205"/>
      <c r="C45" s="206" t="s">
        <v>64</v>
      </c>
      <c r="D45" s="207"/>
      <c r="E45" s="207"/>
      <c r="F45" s="208"/>
      <c r="G45" s="206" t="s">
        <v>65</v>
      </c>
      <c r="H45" s="207"/>
      <c r="I45" s="207"/>
      <c r="J45" s="208"/>
      <c r="K45" s="23"/>
      <c r="L45" s="4"/>
    </row>
    <row r="46" spans="1:18" ht="24.9" customHeight="1">
      <c r="A46" s="196" t="s">
        <v>81</v>
      </c>
      <c r="B46" s="196"/>
      <c r="C46" s="197" t="s">
        <v>82</v>
      </c>
      <c r="D46" s="198"/>
      <c r="E46" s="198"/>
      <c r="F46" s="199"/>
      <c r="G46" s="197" t="s">
        <v>66</v>
      </c>
      <c r="H46" s="198"/>
      <c r="I46" s="198"/>
      <c r="J46" s="199"/>
      <c r="K46" s="23"/>
      <c r="L46" s="4"/>
    </row>
    <row r="47" spans="1:18" ht="150" customHeight="1">
      <c r="A47" s="200"/>
      <c r="B47" s="201"/>
      <c r="C47" s="202"/>
      <c r="D47" s="203"/>
      <c r="E47" s="203"/>
      <c r="F47" s="204"/>
      <c r="G47" s="202"/>
      <c r="H47" s="203"/>
      <c r="I47" s="203"/>
      <c r="J47" s="204"/>
      <c r="K47" s="23"/>
      <c r="L47" s="4"/>
    </row>
    <row r="48" spans="1:18" ht="24.9" customHeight="1">
      <c r="A48" s="192" t="s">
        <v>7</v>
      </c>
      <c r="B48" s="192"/>
      <c r="C48" s="193" t="s">
        <v>7</v>
      </c>
      <c r="D48" s="194"/>
      <c r="E48" s="194"/>
      <c r="F48" s="195"/>
      <c r="G48" s="193" t="s">
        <v>7</v>
      </c>
      <c r="H48" s="194"/>
      <c r="I48" s="194"/>
      <c r="J48" s="195"/>
      <c r="K48" s="23"/>
      <c r="L48" s="4"/>
    </row>
  </sheetData>
  <mergeCells count="17">
    <mergeCell ref="A45:B45"/>
    <mergeCell ref="C45:F45"/>
    <mergeCell ref="G45:J45"/>
    <mergeCell ref="A1:J1"/>
    <mergeCell ref="A2:J2"/>
    <mergeCell ref="A3:J3"/>
    <mergeCell ref="A5:J5"/>
    <mergeCell ref="A44:J44"/>
    <mergeCell ref="A48:B48"/>
    <mergeCell ref="C48:F48"/>
    <mergeCell ref="G48:J48"/>
    <mergeCell ref="A46:B46"/>
    <mergeCell ref="C46:F46"/>
    <mergeCell ref="G46:J46"/>
    <mergeCell ref="A47:B47"/>
    <mergeCell ref="C47:F47"/>
    <mergeCell ref="G47:J47"/>
  </mergeCells>
  <printOptions horizontalCentered="1"/>
  <pageMargins left="0.5" right="0.3" top="0.5" bottom="0.5" header="0.3" footer="0.3"/>
  <pageSetup paperSize="9" scale="46" fitToHeight="1000" orientation="portrait" horizontalDpi="1200" verticalDpi="1200" r:id="rId1"/>
  <headerFoot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8705-E9BF-4369-8A29-D463F1B01B49}">
  <dimension ref="A1:T23"/>
  <sheetViews>
    <sheetView view="pageBreakPreview" zoomScale="80" zoomScaleNormal="80" zoomScaleSheetLayoutView="80" workbookViewId="0">
      <pane xSplit="2" topLeftCell="C1" activePane="topRight" state="frozen"/>
      <selection pane="topRight" activeCell="Q23" sqref="Q23"/>
    </sheetView>
  </sheetViews>
  <sheetFormatPr defaultRowHeight="14.4"/>
  <cols>
    <col min="1" max="1" width="6.5546875" customWidth="1"/>
    <col min="2" max="2" width="40.6640625" customWidth="1"/>
    <col min="3" max="14" width="10.6640625" customWidth="1"/>
    <col min="15" max="16" width="15.6640625" customWidth="1"/>
    <col min="17" max="17" width="20.6640625" customWidth="1"/>
    <col min="18" max="18" width="50.6640625" customWidth="1"/>
    <col min="20" max="20" width="17.33203125" customWidth="1"/>
  </cols>
  <sheetData>
    <row r="1" spans="1:20" ht="30" customHeight="1">
      <c r="B1" s="116" t="s">
        <v>27</v>
      </c>
      <c r="C1" s="44"/>
      <c r="D1" s="44"/>
      <c r="E1" s="44"/>
      <c r="F1" s="44"/>
      <c r="G1" s="44"/>
      <c r="H1" s="44"/>
      <c r="I1" s="44"/>
      <c r="J1" s="44"/>
      <c r="K1" s="44"/>
      <c r="L1" s="44"/>
      <c r="M1" s="44"/>
      <c r="N1" s="44"/>
    </row>
    <row r="2" spans="1:20" ht="24.9" customHeight="1">
      <c r="B2" s="44" t="s">
        <v>188</v>
      </c>
    </row>
    <row r="3" spans="1:20" ht="9.9" customHeight="1"/>
    <row r="4" spans="1:20" ht="20.100000000000001" customHeight="1">
      <c r="A4" s="217" t="s">
        <v>4</v>
      </c>
      <c r="B4" s="217" t="s">
        <v>28</v>
      </c>
      <c r="C4" s="219" t="s">
        <v>29</v>
      </c>
      <c r="D4" s="220"/>
      <c r="E4" s="221"/>
      <c r="F4" s="219" t="s">
        <v>30</v>
      </c>
      <c r="G4" s="220"/>
      <c r="H4" s="221"/>
      <c r="I4" s="219" t="s">
        <v>72</v>
      </c>
      <c r="J4" s="220"/>
      <c r="K4" s="221"/>
      <c r="L4" s="219" t="s">
        <v>31</v>
      </c>
      <c r="M4" s="220"/>
      <c r="N4" s="221"/>
      <c r="O4" s="222" t="s">
        <v>32</v>
      </c>
      <c r="P4" s="222" t="s">
        <v>33</v>
      </c>
      <c r="Q4" s="222" t="s">
        <v>34</v>
      </c>
      <c r="R4" s="217" t="s">
        <v>35</v>
      </c>
    </row>
    <row r="5" spans="1:20" ht="39.9" customHeight="1">
      <c r="A5" s="218"/>
      <c r="B5" s="218"/>
      <c r="C5" s="45" t="s">
        <v>36</v>
      </c>
      <c r="D5" s="45" t="s">
        <v>37</v>
      </c>
      <c r="E5" s="45" t="s">
        <v>38</v>
      </c>
      <c r="F5" s="45" t="s">
        <v>36</v>
      </c>
      <c r="G5" s="45" t="s">
        <v>37</v>
      </c>
      <c r="H5" s="45" t="s">
        <v>38</v>
      </c>
      <c r="I5" s="45" t="s">
        <v>36</v>
      </c>
      <c r="J5" s="45" t="s">
        <v>37</v>
      </c>
      <c r="K5" s="45" t="s">
        <v>38</v>
      </c>
      <c r="L5" s="45" t="s">
        <v>36</v>
      </c>
      <c r="M5" s="45" t="s">
        <v>37</v>
      </c>
      <c r="N5" s="45" t="s">
        <v>38</v>
      </c>
      <c r="O5" s="223"/>
      <c r="P5" s="223"/>
      <c r="Q5" s="223"/>
      <c r="R5" s="218"/>
    </row>
    <row r="6" spans="1:20" ht="24.9" customHeight="1">
      <c r="A6" s="46" t="s">
        <v>39</v>
      </c>
      <c r="B6" s="47" t="s">
        <v>40</v>
      </c>
      <c r="C6" s="46"/>
      <c r="D6" s="46"/>
      <c r="E6" s="46"/>
      <c r="F6" s="46"/>
      <c r="G6" s="46"/>
      <c r="H6" s="46"/>
      <c r="I6" s="46"/>
      <c r="J6" s="46"/>
      <c r="K6" s="46"/>
      <c r="L6" s="46"/>
      <c r="M6" s="46"/>
      <c r="N6" s="46"/>
      <c r="O6" s="48"/>
      <c r="P6" s="46"/>
      <c r="Q6" s="48">
        <f>SUBTOTAL(9,Q7:Q12)</f>
        <v>382200340</v>
      </c>
      <c r="R6" s="47"/>
    </row>
    <row r="7" spans="1:20" ht="20.100000000000001" customHeight="1">
      <c r="A7" s="49">
        <v>1</v>
      </c>
      <c r="B7" s="54" t="s">
        <v>87</v>
      </c>
      <c r="C7" s="55">
        <v>2</v>
      </c>
      <c r="D7" s="55">
        <v>0.5</v>
      </c>
      <c r="E7" s="55">
        <v>1</v>
      </c>
      <c r="F7" s="55">
        <v>2</v>
      </c>
      <c r="G7" s="55">
        <v>0.25</v>
      </c>
      <c r="H7" s="55">
        <v>1</v>
      </c>
      <c r="I7" s="55">
        <v>2</v>
      </c>
      <c r="J7" s="55">
        <v>0.1</v>
      </c>
      <c r="K7" s="55">
        <v>1</v>
      </c>
      <c r="L7" s="55">
        <v>24</v>
      </c>
      <c r="M7" s="55">
        <v>0.1</v>
      </c>
      <c r="N7" s="55">
        <v>1</v>
      </c>
      <c r="O7" s="56">
        <f t="shared" ref="O7:O12" si="0">SUM(PRODUCT(C7:E7),PRODUCT(F7:H7), PRODUCT(I7:K7),PRODUCT(L7:N7))</f>
        <v>4.1000000000000005</v>
      </c>
      <c r="P7" s="57">
        <f>18500000*(1+60%*21.5%+30%)</f>
        <v>26436500</v>
      </c>
      <c r="Q7" s="57">
        <f t="shared" ref="Q7:Q12" si="1">O7*P7</f>
        <v>108389650.00000001</v>
      </c>
      <c r="R7" s="216"/>
      <c r="T7" s="43"/>
    </row>
    <row r="8" spans="1:20" ht="20.100000000000001" customHeight="1">
      <c r="A8" s="53">
        <v>2</v>
      </c>
      <c r="B8" s="54" t="s">
        <v>88</v>
      </c>
      <c r="C8" s="55">
        <v>2</v>
      </c>
      <c r="D8" s="55">
        <v>0.75</v>
      </c>
      <c r="E8" s="55">
        <v>1</v>
      </c>
      <c r="F8" s="55">
        <v>2</v>
      </c>
      <c r="G8" s="55">
        <v>0.5</v>
      </c>
      <c r="H8" s="55">
        <v>1</v>
      </c>
      <c r="I8" s="55">
        <v>2</v>
      </c>
      <c r="J8" s="55">
        <v>0.25</v>
      </c>
      <c r="K8" s="55">
        <v>1</v>
      </c>
      <c r="L8" s="55">
        <v>24</v>
      </c>
      <c r="M8" s="55">
        <v>0.1</v>
      </c>
      <c r="N8" s="55">
        <v>1</v>
      </c>
      <c r="O8" s="56">
        <f t="shared" si="0"/>
        <v>5.4</v>
      </c>
      <c r="P8" s="57">
        <f>11000000*(1+60%*21.5%+30%)</f>
        <v>15719000</v>
      </c>
      <c r="Q8" s="57">
        <f t="shared" si="1"/>
        <v>84882600</v>
      </c>
      <c r="R8" s="216"/>
      <c r="T8" s="43"/>
    </row>
    <row r="9" spans="1:20" ht="20.100000000000001" customHeight="1">
      <c r="A9" s="49">
        <v>3</v>
      </c>
      <c r="B9" s="54" t="s">
        <v>89</v>
      </c>
      <c r="C9" s="55">
        <v>2</v>
      </c>
      <c r="D9" s="55">
        <v>0.5</v>
      </c>
      <c r="E9" s="55">
        <v>1</v>
      </c>
      <c r="F9" s="55">
        <v>2</v>
      </c>
      <c r="G9" s="55">
        <v>0.25</v>
      </c>
      <c r="H9" s="55">
        <v>1</v>
      </c>
      <c r="I9" s="55">
        <v>2</v>
      </c>
      <c r="J9" s="55">
        <v>0.1</v>
      </c>
      <c r="K9" s="55">
        <v>1</v>
      </c>
      <c r="L9" s="55">
        <v>24</v>
      </c>
      <c r="M9" s="55">
        <v>0</v>
      </c>
      <c r="N9" s="55">
        <v>0</v>
      </c>
      <c r="O9" s="56">
        <f t="shared" ref="O9:O11" si="2">SUM(PRODUCT(C9:E9),PRODUCT(F9:H9), PRODUCT(I9:K9),PRODUCT(L9:N9))</f>
        <v>1.7</v>
      </c>
      <c r="P9" s="57">
        <f>14000000*(1+60%*21.5%+30%)</f>
        <v>20006000</v>
      </c>
      <c r="Q9" s="57">
        <f t="shared" ref="Q9:Q11" si="3">O9*P9</f>
        <v>34010200</v>
      </c>
      <c r="R9" s="216"/>
      <c r="T9" s="43"/>
    </row>
    <row r="10" spans="1:20" ht="20.100000000000001" customHeight="1">
      <c r="A10" s="53">
        <v>4</v>
      </c>
      <c r="B10" s="54" t="s">
        <v>186</v>
      </c>
      <c r="C10" s="55">
        <v>2</v>
      </c>
      <c r="D10" s="55">
        <v>0.75</v>
      </c>
      <c r="E10" s="55">
        <v>1</v>
      </c>
      <c r="F10" s="55">
        <v>2</v>
      </c>
      <c r="G10" s="55">
        <v>0.5</v>
      </c>
      <c r="H10" s="55">
        <v>1</v>
      </c>
      <c r="I10" s="55">
        <v>2</v>
      </c>
      <c r="J10" s="55">
        <v>0.25</v>
      </c>
      <c r="K10" s="55">
        <v>1</v>
      </c>
      <c r="L10" s="55">
        <v>24</v>
      </c>
      <c r="M10" s="55">
        <v>0</v>
      </c>
      <c r="N10" s="55">
        <v>0</v>
      </c>
      <c r="O10" s="56">
        <f t="shared" si="2"/>
        <v>3</v>
      </c>
      <c r="P10" s="57">
        <f>14600000*(1+60%*21.5%+30%)</f>
        <v>20863400</v>
      </c>
      <c r="Q10" s="57">
        <f t="shared" si="3"/>
        <v>62590200</v>
      </c>
      <c r="R10" s="216"/>
      <c r="T10" s="43"/>
    </row>
    <row r="11" spans="1:20" ht="20.100000000000001" customHeight="1">
      <c r="A11" s="49">
        <v>5</v>
      </c>
      <c r="B11" s="54" t="s">
        <v>75</v>
      </c>
      <c r="C11" s="55">
        <v>2</v>
      </c>
      <c r="D11" s="55">
        <v>0.5</v>
      </c>
      <c r="E11" s="55">
        <v>1</v>
      </c>
      <c r="F11" s="55">
        <v>2</v>
      </c>
      <c r="G11" s="55">
        <v>0.25</v>
      </c>
      <c r="H11" s="55">
        <v>1</v>
      </c>
      <c r="I11" s="55">
        <v>2</v>
      </c>
      <c r="J11" s="55">
        <v>0.1</v>
      </c>
      <c r="K11" s="55">
        <v>1</v>
      </c>
      <c r="L11" s="55">
        <v>24</v>
      </c>
      <c r="M11" s="55">
        <v>0</v>
      </c>
      <c r="N11" s="55">
        <v>0</v>
      </c>
      <c r="O11" s="56">
        <f t="shared" si="2"/>
        <v>1.7</v>
      </c>
      <c r="P11" s="57">
        <f>13300000*(1+60%*21.5%+30%)</f>
        <v>19005700</v>
      </c>
      <c r="Q11" s="57">
        <f t="shared" si="3"/>
        <v>32309690</v>
      </c>
      <c r="R11" s="216"/>
      <c r="T11" s="43"/>
    </row>
    <row r="12" spans="1:20" ht="20.100000000000001" customHeight="1">
      <c r="A12" s="53">
        <v>6</v>
      </c>
      <c r="B12" s="54" t="s">
        <v>91</v>
      </c>
      <c r="C12" s="55">
        <v>2</v>
      </c>
      <c r="D12" s="55">
        <v>0.75</v>
      </c>
      <c r="E12" s="55">
        <v>1</v>
      </c>
      <c r="F12" s="55">
        <v>2</v>
      </c>
      <c r="G12" s="55">
        <v>0.5</v>
      </c>
      <c r="H12" s="55">
        <v>1</v>
      </c>
      <c r="I12" s="55">
        <v>2</v>
      </c>
      <c r="J12" s="55">
        <v>0.25</v>
      </c>
      <c r="K12" s="55">
        <v>1</v>
      </c>
      <c r="L12" s="55">
        <v>24</v>
      </c>
      <c r="M12" s="55">
        <v>0</v>
      </c>
      <c r="N12" s="55">
        <v>0</v>
      </c>
      <c r="O12" s="56">
        <f t="shared" si="0"/>
        <v>3</v>
      </c>
      <c r="P12" s="57">
        <f>14000000*(1+60%*21.5%+30%)</f>
        <v>20006000</v>
      </c>
      <c r="Q12" s="57">
        <f t="shared" si="1"/>
        <v>60018000</v>
      </c>
      <c r="R12" s="216"/>
      <c r="T12" s="43"/>
    </row>
    <row r="13" spans="1:20" ht="24.9" customHeight="1">
      <c r="A13" s="46" t="s">
        <v>41</v>
      </c>
      <c r="B13" s="47" t="s">
        <v>42</v>
      </c>
      <c r="C13" s="47"/>
      <c r="D13" s="47"/>
      <c r="E13" s="47"/>
      <c r="F13" s="47"/>
      <c r="G13" s="47"/>
      <c r="H13" s="47"/>
      <c r="I13" s="47"/>
      <c r="J13" s="47"/>
      <c r="K13" s="47"/>
      <c r="L13" s="47"/>
      <c r="M13" s="47"/>
      <c r="N13" s="47"/>
      <c r="O13" s="58"/>
      <c r="P13" s="46"/>
      <c r="Q13" s="58"/>
      <c r="R13" s="59"/>
      <c r="T13" s="43"/>
    </row>
    <row r="14" spans="1:20" ht="20.100000000000001" customHeight="1">
      <c r="A14" s="60">
        <v>1</v>
      </c>
      <c r="B14" s="61" t="s">
        <v>73</v>
      </c>
      <c r="C14" s="60">
        <v>2</v>
      </c>
      <c r="D14" s="60">
        <v>1</v>
      </c>
      <c r="E14" s="60">
        <v>1</v>
      </c>
      <c r="F14" s="60">
        <v>2</v>
      </c>
      <c r="G14" s="60">
        <v>1</v>
      </c>
      <c r="H14" s="60">
        <v>1</v>
      </c>
      <c r="I14" s="60">
        <v>2</v>
      </c>
      <c r="J14" s="60">
        <v>1</v>
      </c>
      <c r="K14" s="60">
        <v>1</v>
      </c>
      <c r="L14" s="60">
        <v>1</v>
      </c>
      <c r="M14" s="60">
        <v>1</v>
      </c>
      <c r="N14" s="60">
        <v>1</v>
      </c>
      <c r="O14" s="52">
        <v>0</v>
      </c>
      <c r="P14" s="117">
        <v>0</v>
      </c>
      <c r="Q14" s="58">
        <f>O14*P14</f>
        <v>0</v>
      </c>
      <c r="R14" s="62"/>
    </row>
    <row r="15" spans="1:20" ht="24.9" customHeight="1">
      <c r="A15" s="46" t="s">
        <v>43</v>
      </c>
      <c r="B15" s="47" t="s">
        <v>74</v>
      </c>
      <c r="C15" s="47"/>
      <c r="D15" s="47"/>
      <c r="E15" s="47"/>
      <c r="F15" s="47"/>
      <c r="G15" s="47"/>
      <c r="H15" s="47"/>
      <c r="I15" s="47"/>
      <c r="J15" s="47"/>
      <c r="K15" s="47"/>
      <c r="L15" s="47"/>
      <c r="M15" s="47"/>
      <c r="N15" s="47"/>
      <c r="O15" s="58"/>
      <c r="P15" s="46"/>
      <c r="Q15" s="58">
        <f>SUBTOTAL(9,Q16:Q17)</f>
        <v>0</v>
      </c>
      <c r="R15" s="59"/>
    </row>
    <row r="16" spans="1:20" ht="30" customHeight="1">
      <c r="A16" s="49">
        <v>1</v>
      </c>
      <c r="B16" s="50" t="s">
        <v>44</v>
      </c>
      <c r="C16" s="51">
        <v>2</v>
      </c>
      <c r="D16" s="51">
        <v>1</v>
      </c>
      <c r="E16" s="51">
        <v>1</v>
      </c>
      <c r="F16" s="51">
        <v>2</v>
      </c>
      <c r="G16" s="51">
        <v>1</v>
      </c>
      <c r="H16" s="51">
        <v>1</v>
      </c>
      <c r="I16" s="51">
        <v>2</v>
      </c>
      <c r="J16" s="51">
        <v>1</v>
      </c>
      <c r="K16" s="51">
        <v>1</v>
      </c>
      <c r="L16" s="51">
        <v>24</v>
      </c>
      <c r="M16" s="51">
        <v>1</v>
      </c>
      <c r="N16" s="51">
        <v>1</v>
      </c>
      <c r="O16" s="52">
        <v>0</v>
      </c>
      <c r="P16" s="52">
        <v>0</v>
      </c>
      <c r="Q16" s="52">
        <f>PRODUCT(C16:P16)</f>
        <v>0</v>
      </c>
      <c r="R16" s="216" t="s">
        <v>110</v>
      </c>
    </row>
    <row r="17" spans="1:18" ht="30" customHeight="1">
      <c r="A17" s="53">
        <v>2</v>
      </c>
      <c r="B17" s="54" t="s">
        <v>45</v>
      </c>
      <c r="C17" s="55">
        <v>2</v>
      </c>
      <c r="D17" s="55">
        <v>1</v>
      </c>
      <c r="E17" s="55">
        <v>1</v>
      </c>
      <c r="F17" s="55">
        <v>2</v>
      </c>
      <c r="G17" s="55">
        <v>1</v>
      </c>
      <c r="H17" s="55">
        <v>1</v>
      </c>
      <c r="I17" s="55">
        <v>2</v>
      </c>
      <c r="J17" s="55">
        <v>1</v>
      </c>
      <c r="K17" s="55">
        <v>1</v>
      </c>
      <c r="L17" s="55">
        <v>24</v>
      </c>
      <c r="M17" s="55">
        <v>1</v>
      </c>
      <c r="N17" s="55">
        <v>1</v>
      </c>
      <c r="O17" s="57">
        <v>0</v>
      </c>
      <c r="P17" s="57">
        <v>0</v>
      </c>
      <c r="Q17" s="57">
        <f>PRODUCT(C17:P17)</f>
        <v>0</v>
      </c>
      <c r="R17" s="216"/>
    </row>
    <row r="18" spans="1:18" ht="24.9" customHeight="1">
      <c r="A18" s="46" t="s">
        <v>46</v>
      </c>
      <c r="B18" s="47" t="s">
        <v>47</v>
      </c>
      <c r="C18" s="47"/>
      <c r="D18" s="47"/>
      <c r="E18" s="47"/>
      <c r="F18" s="47"/>
      <c r="G18" s="47"/>
      <c r="H18" s="47"/>
      <c r="I18" s="47"/>
      <c r="J18" s="47"/>
      <c r="K18" s="47"/>
      <c r="L18" s="47"/>
      <c r="M18" s="47"/>
      <c r="N18" s="47"/>
      <c r="O18" s="58"/>
      <c r="P18" s="46"/>
      <c r="Q18" s="58">
        <f>SUBTOTAL(9,Q19:Q19)</f>
        <v>425399309.99999994</v>
      </c>
      <c r="R18" s="47"/>
    </row>
    <row r="19" spans="1:18" ht="90" customHeight="1">
      <c r="A19" s="49">
        <v>1</v>
      </c>
      <c r="B19" s="63" t="s">
        <v>48</v>
      </c>
      <c r="C19" s="64"/>
      <c r="D19" s="64"/>
      <c r="E19" s="64"/>
      <c r="F19" s="64"/>
      <c r="G19" s="64"/>
      <c r="H19" s="64"/>
      <c r="I19" s="64"/>
      <c r="J19" s="64"/>
      <c r="K19" s="64"/>
      <c r="L19" s="64"/>
      <c r="M19" s="64"/>
      <c r="N19" s="64"/>
      <c r="O19" s="65">
        <f>SUM(O7:O12)</f>
        <v>18.899999999999999</v>
      </c>
      <c r="P19" s="52">
        <f>'CP_VP-Overhead'!F44</f>
        <v>22507900</v>
      </c>
      <c r="Q19" s="52">
        <f>PRODUCT(C19:P19)</f>
        <v>425399309.99999994</v>
      </c>
      <c r="R19" s="66" t="s">
        <v>84</v>
      </c>
    </row>
    <row r="23" spans="1:18">
      <c r="P23" s="9"/>
    </row>
  </sheetData>
  <mergeCells count="12">
    <mergeCell ref="R16:R17"/>
    <mergeCell ref="A4:A5"/>
    <mergeCell ref="B4:B5"/>
    <mergeCell ref="C4:E4"/>
    <mergeCell ref="F4:H4"/>
    <mergeCell ref="I4:K4"/>
    <mergeCell ref="L4:N4"/>
    <mergeCell ref="O4:O5"/>
    <mergeCell ref="P4:P5"/>
    <mergeCell ref="Q4:Q5"/>
    <mergeCell ref="R4:R5"/>
    <mergeCell ref="R7:R12"/>
  </mergeCells>
  <pageMargins left="0.7" right="0.7" top="0.75" bottom="0.75" header="0.3" footer="0.3"/>
  <pageSetup orientation="portrait" r:id="rId1"/>
  <ignoredErrors>
    <ignoredError sqref="P10"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D1BE-0B5D-4CB2-B846-3BFBC9612019}">
  <dimension ref="A1:L47"/>
  <sheetViews>
    <sheetView view="pageBreakPreview" zoomScale="80" zoomScaleNormal="80" zoomScaleSheetLayoutView="80" workbookViewId="0">
      <selection activeCell="H47" sqref="H47"/>
    </sheetView>
  </sheetViews>
  <sheetFormatPr defaultRowHeight="14.4" outlineLevelRow="2"/>
  <cols>
    <col min="1" max="1" width="5.6640625" customWidth="1"/>
    <col min="2" max="2" width="50.6640625" customWidth="1"/>
    <col min="3" max="5" width="10.6640625" style="133" customWidth="1"/>
    <col min="6" max="6" width="15.6640625" style="130" customWidth="1"/>
    <col min="7" max="7" width="15.6640625" style="133" customWidth="1"/>
    <col min="8" max="8" width="50.6640625" style="133" customWidth="1"/>
    <col min="9" max="9" width="2.6640625" customWidth="1"/>
    <col min="10" max="10" width="20.6640625" style="133" customWidth="1"/>
    <col min="11" max="11" width="20.6640625" customWidth="1"/>
    <col min="12" max="12" width="20.77734375" customWidth="1"/>
  </cols>
  <sheetData>
    <row r="1" spans="1:12" s="127" customFormat="1" ht="30" customHeight="1">
      <c r="B1" s="128" t="s">
        <v>111</v>
      </c>
      <c r="C1" s="129"/>
      <c r="D1" s="129"/>
      <c r="E1" s="129"/>
      <c r="F1" s="130"/>
      <c r="G1" s="130"/>
      <c r="H1" s="130"/>
      <c r="J1" s="130"/>
    </row>
    <row r="2" spans="1:12" s="127" customFormat="1" ht="39.9" customHeight="1">
      <c r="B2" s="131" t="s">
        <v>112</v>
      </c>
      <c r="C2" s="129"/>
      <c r="D2" s="129"/>
      <c r="E2" s="129"/>
      <c r="F2" s="130"/>
      <c r="G2" s="130"/>
      <c r="H2" s="132" t="s">
        <v>113</v>
      </c>
      <c r="J2" s="130"/>
    </row>
    <row r="3" spans="1:12" ht="9.9" customHeight="1" thickBot="1"/>
    <row r="4" spans="1:12" ht="40.049999999999997" customHeight="1" thickBot="1">
      <c r="A4" s="134" t="s">
        <v>4</v>
      </c>
      <c r="B4" s="135" t="s">
        <v>28</v>
      </c>
      <c r="C4" s="136" t="s">
        <v>36</v>
      </c>
      <c r="D4" s="136" t="s">
        <v>37</v>
      </c>
      <c r="E4" s="136" t="s">
        <v>102</v>
      </c>
      <c r="F4" s="136" t="s">
        <v>33</v>
      </c>
      <c r="G4" s="136" t="s">
        <v>34</v>
      </c>
      <c r="H4" s="137" t="s">
        <v>35</v>
      </c>
      <c r="J4" s="130" t="s">
        <v>114</v>
      </c>
      <c r="K4" s="130" t="s">
        <v>115</v>
      </c>
      <c r="L4" s="130" t="s">
        <v>116</v>
      </c>
    </row>
    <row r="5" spans="1:12" ht="24.9" customHeight="1">
      <c r="A5" s="138" t="s">
        <v>39</v>
      </c>
      <c r="B5" s="139" t="s">
        <v>117</v>
      </c>
      <c r="C5" s="140"/>
      <c r="D5" s="140"/>
      <c r="E5" s="140"/>
      <c r="F5" s="141"/>
      <c r="G5" s="142">
        <f>SUBTOTAL(9,G6:G8)</f>
        <v>1497648000</v>
      </c>
      <c r="H5" s="143"/>
      <c r="J5" s="144">
        <f>SUM(J6:J8)</f>
        <v>374412000</v>
      </c>
      <c r="K5" s="144">
        <f>SUM(K6:K8)</f>
        <v>299280000</v>
      </c>
      <c r="L5" s="144">
        <f>SUM(L6:L8)</f>
        <v>499216000</v>
      </c>
    </row>
    <row r="6" spans="1:12" ht="24.9" hidden="1" customHeight="1" outlineLevel="1">
      <c r="A6" s="145">
        <v>1</v>
      </c>
      <c r="B6" s="54" t="s">
        <v>118</v>
      </c>
      <c r="C6" s="55">
        <v>12</v>
      </c>
      <c r="D6" s="55">
        <v>1</v>
      </c>
      <c r="E6" s="55">
        <v>1</v>
      </c>
      <c r="F6" s="146">
        <v>1000000</v>
      </c>
      <c r="G6" s="147">
        <f>PRODUCT(C6:F6)</f>
        <v>12000000</v>
      </c>
      <c r="H6" s="225" t="s">
        <v>119</v>
      </c>
      <c r="J6" s="149">
        <f>F6*3</f>
        <v>3000000</v>
      </c>
      <c r="K6" s="149">
        <f>F6*6</f>
        <v>6000000</v>
      </c>
      <c r="L6" s="149">
        <f>F6*4</f>
        <v>4000000</v>
      </c>
    </row>
    <row r="7" spans="1:12" ht="24.9" hidden="1" customHeight="1" outlineLevel="1">
      <c r="A7" s="145">
        <v>2</v>
      </c>
      <c r="B7" s="54" t="s">
        <v>120</v>
      </c>
      <c r="C7" s="55">
        <v>12</v>
      </c>
      <c r="D7" s="55">
        <v>1</v>
      </c>
      <c r="E7" s="55">
        <v>1</v>
      </c>
      <c r="F7" s="146">
        <f>40000000*(1+60%*21.5%+50%)</f>
        <v>65160000</v>
      </c>
      <c r="G7" s="147">
        <f>PRODUCT(C7:F7)</f>
        <v>781920000</v>
      </c>
      <c r="H7" s="225"/>
      <c r="J7" s="149">
        <f>F7*3</f>
        <v>195480000</v>
      </c>
      <c r="K7" s="149">
        <f>10000000*6</f>
        <v>60000000</v>
      </c>
      <c r="L7" s="149">
        <f>F7*4</f>
        <v>260640000</v>
      </c>
    </row>
    <row r="8" spans="1:12" ht="24.9" hidden="1" customHeight="1" outlineLevel="1">
      <c r="A8" s="145">
        <v>3</v>
      </c>
      <c r="B8" s="54" t="s">
        <v>121</v>
      </c>
      <c r="C8" s="55">
        <v>12</v>
      </c>
      <c r="D8" s="55">
        <v>1</v>
      </c>
      <c r="E8" s="55">
        <v>1</v>
      </c>
      <c r="F8" s="146">
        <f>36000000*(1+60%*21.5%+50%)</f>
        <v>58644000</v>
      </c>
      <c r="G8" s="147">
        <f>PRODUCT(C8:F8)</f>
        <v>703728000</v>
      </c>
      <c r="H8" s="225"/>
      <c r="J8" s="149">
        <f>F8*3</f>
        <v>175932000</v>
      </c>
      <c r="K8" s="149">
        <f>32000000*(1+21.5%)*6</f>
        <v>233280000</v>
      </c>
      <c r="L8" s="149">
        <f>F8*4</f>
        <v>234576000</v>
      </c>
    </row>
    <row r="9" spans="1:12" ht="24.9" customHeight="1" collapsed="1">
      <c r="A9" s="150" t="s">
        <v>41</v>
      </c>
      <c r="B9" s="151" t="s">
        <v>122</v>
      </c>
      <c r="C9" s="152"/>
      <c r="D9" s="152"/>
      <c r="E9" s="152"/>
      <c r="F9" s="153"/>
      <c r="G9" s="154">
        <f>SUBTOTAL(9,G10:G15)</f>
        <v>609720000</v>
      </c>
      <c r="H9" s="155"/>
      <c r="J9" s="144">
        <f>SUM(J10:J15)</f>
        <v>73965000</v>
      </c>
      <c r="K9" s="144">
        <f>SUM(K10:K15)</f>
        <v>153930000</v>
      </c>
      <c r="L9" s="144">
        <f>SUM(L10:L15)</f>
        <v>103120000</v>
      </c>
    </row>
    <row r="10" spans="1:12" ht="24.9" hidden="1" customHeight="1" outlineLevel="1">
      <c r="A10" s="145">
        <v>1</v>
      </c>
      <c r="B10" s="156" t="s">
        <v>123</v>
      </c>
      <c r="C10" s="53">
        <v>24</v>
      </c>
      <c r="D10" s="53">
        <v>1</v>
      </c>
      <c r="E10" s="53">
        <v>1</v>
      </c>
      <c r="F10" s="146">
        <v>21000000</v>
      </c>
      <c r="G10" s="147">
        <f t="shared" ref="G10:G15" si="0">PRODUCT(C10:F10)</f>
        <v>504000000</v>
      </c>
      <c r="H10" s="148" t="s">
        <v>124</v>
      </c>
      <c r="J10" s="149">
        <f>F10*3</f>
        <v>63000000</v>
      </c>
      <c r="K10" s="149">
        <f>F10*6</f>
        <v>126000000</v>
      </c>
      <c r="L10" s="149">
        <f>F10*4</f>
        <v>84000000</v>
      </c>
    </row>
    <row r="11" spans="1:12" ht="24.9" hidden="1" customHeight="1" outlineLevel="1">
      <c r="A11" s="145">
        <v>2</v>
      </c>
      <c r="B11" s="156" t="s">
        <v>125</v>
      </c>
      <c r="C11" s="53">
        <v>24</v>
      </c>
      <c r="D11" s="53">
        <v>1</v>
      </c>
      <c r="E11" s="53">
        <v>1</v>
      </c>
      <c r="F11" s="146">
        <v>2300000</v>
      </c>
      <c r="G11" s="147">
        <f t="shared" si="0"/>
        <v>55200000</v>
      </c>
      <c r="H11" s="148" t="s">
        <v>126</v>
      </c>
      <c r="J11" s="149">
        <f>F11*3</f>
        <v>6900000</v>
      </c>
      <c r="K11" s="149">
        <f>F11*6</f>
        <v>13800000</v>
      </c>
      <c r="L11" s="149">
        <f>F11*4</f>
        <v>9200000</v>
      </c>
    </row>
    <row r="12" spans="1:12" ht="24.9" hidden="1" customHeight="1" outlineLevel="1">
      <c r="A12" s="145">
        <v>3</v>
      </c>
      <c r="B12" s="156" t="s">
        <v>127</v>
      </c>
      <c r="C12" s="53">
        <v>12</v>
      </c>
      <c r="D12" s="53">
        <v>2</v>
      </c>
      <c r="E12" s="53">
        <v>1</v>
      </c>
      <c r="F12" s="146">
        <v>750000</v>
      </c>
      <c r="G12" s="147">
        <f t="shared" si="0"/>
        <v>18000000</v>
      </c>
      <c r="H12" s="148" t="s">
        <v>128</v>
      </c>
      <c r="J12" s="149">
        <v>0</v>
      </c>
      <c r="K12" s="149">
        <f>F12*6*2</f>
        <v>9000000</v>
      </c>
      <c r="L12" s="149">
        <f>F12*6</f>
        <v>4500000</v>
      </c>
    </row>
    <row r="13" spans="1:12" ht="24.9" hidden="1" customHeight="1" outlineLevel="1">
      <c r="A13" s="145">
        <v>4</v>
      </c>
      <c r="B13" s="156" t="s">
        <v>129</v>
      </c>
      <c r="C13" s="53">
        <v>24</v>
      </c>
      <c r="D13" s="53">
        <v>1</v>
      </c>
      <c r="E13" s="53">
        <v>1</v>
      </c>
      <c r="F13" s="146">
        <v>300000</v>
      </c>
      <c r="G13" s="147">
        <f t="shared" si="0"/>
        <v>7200000</v>
      </c>
      <c r="H13" s="148" t="s">
        <v>130</v>
      </c>
      <c r="J13" s="149">
        <f>F13*3</f>
        <v>900000</v>
      </c>
      <c r="K13" s="149">
        <f>F13*6</f>
        <v>1800000</v>
      </c>
      <c r="L13" s="149">
        <f>F13*4</f>
        <v>1200000</v>
      </c>
    </row>
    <row r="14" spans="1:12" ht="24.9" hidden="1" customHeight="1" outlineLevel="1">
      <c r="A14" s="145">
        <v>5</v>
      </c>
      <c r="B14" s="156" t="s">
        <v>131</v>
      </c>
      <c r="C14" s="53">
        <v>24</v>
      </c>
      <c r="D14" s="53">
        <v>1</v>
      </c>
      <c r="E14" s="53">
        <v>1</v>
      </c>
      <c r="F14" s="146">
        <v>555000</v>
      </c>
      <c r="G14" s="147">
        <f t="shared" si="0"/>
        <v>13320000</v>
      </c>
      <c r="H14" s="148" t="s">
        <v>132</v>
      </c>
      <c r="J14" s="149">
        <f>F14*3</f>
        <v>1665000</v>
      </c>
      <c r="K14" s="149">
        <f>F14*6</f>
        <v>3330000</v>
      </c>
      <c r="L14" s="149">
        <f>F14*4</f>
        <v>2220000</v>
      </c>
    </row>
    <row r="15" spans="1:12" ht="30" hidden="1" customHeight="1" outlineLevel="1">
      <c r="A15" s="145">
        <v>6</v>
      </c>
      <c r="B15" s="156" t="s">
        <v>133</v>
      </c>
      <c r="C15" s="53">
        <v>24</v>
      </c>
      <c r="D15" s="53">
        <v>1</v>
      </c>
      <c r="E15" s="53">
        <v>1</v>
      </c>
      <c r="F15" s="146">
        <v>500000</v>
      </c>
      <c r="G15" s="147">
        <f t="shared" si="0"/>
        <v>12000000</v>
      </c>
      <c r="H15" s="148" t="s">
        <v>132</v>
      </c>
      <c r="J15" s="149">
        <f>F15*3</f>
        <v>1500000</v>
      </c>
      <c r="K15" s="149">
        <v>0</v>
      </c>
      <c r="L15" s="149">
        <f>F15*4</f>
        <v>2000000</v>
      </c>
    </row>
    <row r="16" spans="1:12" ht="24.9" customHeight="1" collapsed="1">
      <c r="A16" s="150" t="s">
        <v>43</v>
      </c>
      <c r="B16" s="151" t="s">
        <v>134</v>
      </c>
      <c r="C16" s="152"/>
      <c r="D16" s="152"/>
      <c r="E16" s="152"/>
      <c r="F16" s="153"/>
      <c r="G16" s="154">
        <f>SUBTOTAL(9,G17:G23)</f>
        <v>411600000</v>
      </c>
      <c r="H16" s="155"/>
      <c r="J16" s="144">
        <f>SUM(J17:J24)</f>
        <v>116850000</v>
      </c>
      <c r="K16" s="144">
        <f>SUM(K17:K24)</f>
        <v>168900000</v>
      </c>
      <c r="L16" s="144">
        <f>SUM(L17:L24)</f>
        <v>146300000</v>
      </c>
    </row>
    <row r="17" spans="1:12" ht="24.9" hidden="1" customHeight="1" outlineLevel="1">
      <c r="A17" s="145">
        <v>1</v>
      </c>
      <c r="B17" s="54" t="s">
        <v>135</v>
      </c>
      <c r="C17" s="55">
        <v>12</v>
      </c>
      <c r="D17" s="55">
        <v>1</v>
      </c>
      <c r="E17" s="55">
        <v>1</v>
      </c>
      <c r="F17" s="146">
        <v>22000000</v>
      </c>
      <c r="G17" s="147">
        <f t="shared" ref="G17:G24" si="1">PRODUCT(C17:F17)</f>
        <v>264000000</v>
      </c>
      <c r="H17" s="226" t="s">
        <v>136</v>
      </c>
      <c r="J17" s="149">
        <f>F17*3</f>
        <v>66000000</v>
      </c>
      <c r="K17" s="149">
        <f t="shared" ref="K17:K22" si="2">F17*6</f>
        <v>132000000</v>
      </c>
      <c r="L17" s="149">
        <f>F17*4</f>
        <v>88000000</v>
      </c>
    </row>
    <row r="18" spans="1:12" ht="24.9" hidden="1" customHeight="1" outlineLevel="1">
      <c r="A18" s="145">
        <v>2</v>
      </c>
      <c r="B18" s="54" t="s">
        <v>137</v>
      </c>
      <c r="C18" s="55">
        <v>12</v>
      </c>
      <c r="D18" s="55">
        <v>1</v>
      </c>
      <c r="E18" s="55">
        <v>1</v>
      </c>
      <c r="F18" s="146">
        <v>2500000</v>
      </c>
      <c r="G18" s="147">
        <f t="shared" si="1"/>
        <v>30000000</v>
      </c>
      <c r="H18" s="226"/>
      <c r="J18" s="149">
        <f>F18*3</f>
        <v>7500000</v>
      </c>
      <c r="K18" s="149">
        <f t="shared" si="2"/>
        <v>15000000</v>
      </c>
      <c r="L18" s="149">
        <f>F18*4</f>
        <v>10000000</v>
      </c>
    </row>
    <row r="19" spans="1:12" ht="24.9" hidden="1" customHeight="1" outlineLevel="1">
      <c r="A19" s="145">
        <v>3</v>
      </c>
      <c r="B19" s="54" t="s">
        <v>138</v>
      </c>
      <c r="C19" s="55">
        <v>12</v>
      </c>
      <c r="D19" s="55">
        <v>12</v>
      </c>
      <c r="E19" s="55">
        <v>1</v>
      </c>
      <c r="F19" s="146">
        <v>150000</v>
      </c>
      <c r="G19" s="147">
        <f t="shared" si="1"/>
        <v>21600000</v>
      </c>
      <c r="H19" s="226"/>
      <c r="J19" s="149">
        <f>F19*3*13</f>
        <v>5850000</v>
      </c>
      <c r="K19" s="149">
        <f t="shared" si="2"/>
        <v>900000</v>
      </c>
      <c r="L19" s="149">
        <f>F19*4*13</f>
        <v>7800000</v>
      </c>
    </row>
    <row r="20" spans="1:12" ht="24.9" hidden="1" customHeight="1" outlineLevel="1">
      <c r="A20" s="145">
        <v>4</v>
      </c>
      <c r="B20" s="54" t="s">
        <v>139</v>
      </c>
      <c r="C20" s="55">
        <v>12</v>
      </c>
      <c r="D20" s="55">
        <v>1</v>
      </c>
      <c r="E20" s="55">
        <v>1</v>
      </c>
      <c r="F20" s="146">
        <v>1100000</v>
      </c>
      <c r="G20" s="147">
        <f t="shared" si="1"/>
        <v>13200000</v>
      </c>
      <c r="H20" s="157" t="s">
        <v>140</v>
      </c>
      <c r="J20" s="149">
        <f>F20*3</f>
        <v>3300000</v>
      </c>
      <c r="K20" s="149">
        <f t="shared" si="2"/>
        <v>6600000</v>
      </c>
      <c r="L20" s="149">
        <f>F20*4</f>
        <v>4400000</v>
      </c>
    </row>
    <row r="21" spans="1:12" ht="24.9" hidden="1" customHeight="1" outlineLevel="1">
      <c r="A21" s="145">
        <v>5</v>
      </c>
      <c r="B21" s="54" t="s">
        <v>141</v>
      </c>
      <c r="C21" s="55">
        <v>12</v>
      </c>
      <c r="D21" s="55">
        <v>1</v>
      </c>
      <c r="E21" s="55">
        <v>1</v>
      </c>
      <c r="F21" s="146">
        <v>1000000</v>
      </c>
      <c r="G21" s="147">
        <f t="shared" si="1"/>
        <v>12000000</v>
      </c>
      <c r="H21" s="158" t="s">
        <v>142</v>
      </c>
      <c r="J21" s="149">
        <f>F21*3</f>
        <v>3000000</v>
      </c>
      <c r="K21" s="149">
        <f t="shared" si="2"/>
        <v>6000000</v>
      </c>
      <c r="L21" s="149">
        <f>F21*4</f>
        <v>4000000</v>
      </c>
    </row>
    <row r="22" spans="1:12" ht="49.95" hidden="1" customHeight="1" outlineLevel="1">
      <c r="A22" s="145">
        <v>6</v>
      </c>
      <c r="B22" s="54" t="s">
        <v>143</v>
      </c>
      <c r="C22" s="55">
        <v>12</v>
      </c>
      <c r="D22" s="55">
        <v>1</v>
      </c>
      <c r="E22" s="55">
        <v>1</v>
      </c>
      <c r="F22" s="159">
        <v>1400000</v>
      </c>
      <c r="G22" s="147">
        <f t="shared" si="1"/>
        <v>16800000</v>
      </c>
      <c r="H22" s="148" t="s">
        <v>144</v>
      </c>
      <c r="J22" s="149">
        <f>F22*3</f>
        <v>4200000</v>
      </c>
      <c r="K22" s="149">
        <f t="shared" si="2"/>
        <v>8400000</v>
      </c>
      <c r="L22" s="149">
        <f>F22*4</f>
        <v>5600000</v>
      </c>
    </row>
    <row r="23" spans="1:12" ht="39.9" hidden="1" customHeight="1" outlineLevel="1">
      <c r="A23" s="145">
        <v>7</v>
      </c>
      <c r="B23" s="160" t="s">
        <v>145</v>
      </c>
      <c r="C23" s="55">
        <v>12</v>
      </c>
      <c r="D23" s="55">
        <v>1</v>
      </c>
      <c r="E23" s="55">
        <v>1</v>
      </c>
      <c r="F23" s="159">
        <v>4500000</v>
      </c>
      <c r="G23" s="147">
        <f t="shared" si="1"/>
        <v>54000000</v>
      </c>
      <c r="H23" s="148" t="s">
        <v>146</v>
      </c>
      <c r="J23" s="149">
        <f>F23*6</f>
        <v>27000000</v>
      </c>
      <c r="K23" s="149">
        <v>0</v>
      </c>
      <c r="L23" s="149">
        <f>F23*1</f>
        <v>4500000</v>
      </c>
    </row>
    <row r="24" spans="1:12" ht="25.2" hidden="1" customHeight="1" outlineLevel="1">
      <c r="A24" s="145">
        <v>8</v>
      </c>
      <c r="B24" s="160" t="s">
        <v>147</v>
      </c>
      <c r="C24" s="55">
        <v>12</v>
      </c>
      <c r="D24" s="55">
        <v>1</v>
      </c>
      <c r="E24" s="55">
        <v>2</v>
      </c>
      <c r="F24" s="159">
        <v>5500000</v>
      </c>
      <c r="G24" s="147">
        <f t="shared" si="1"/>
        <v>132000000</v>
      </c>
      <c r="H24" s="148" t="s">
        <v>148</v>
      </c>
      <c r="J24" s="149">
        <v>0</v>
      </c>
      <c r="K24" s="149">
        <v>0</v>
      </c>
      <c r="L24" s="149">
        <f>F24*4</f>
        <v>22000000</v>
      </c>
    </row>
    <row r="25" spans="1:12" ht="25.2" customHeight="1" collapsed="1">
      <c r="A25" s="150" t="s">
        <v>46</v>
      </c>
      <c r="B25" s="151" t="s">
        <v>149</v>
      </c>
      <c r="C25" s="227"/>
      <c r="D25" s="228"/>
      <c r="E25" s="229"/>
      <c r="F25" s="153"/>
      <c r="G25" s="154">
        <f>SUM(G26,G27,G33,G34,G35,G36,G37:G41)</f>
        <v>394840000</v>
      </c>
      <c r="H25" s="161"/>
      <c r="J25" s="144">
        <f>SUM(J26:J41)</f>
        <v>62760000</v>
      </c>
      <c r="K25" s="144">
        <f>SUM(K26:K41)</f>
        <v>116420000</v>
      </c>
      <c r="L25" s="144">
        <f>SUM(L26:L41)</f>
        <v>95680000</v>
      </c>
    </row>
    <row r="26" spans="1:12" ht="49.95" hidden="1" customHeight="1" outlineLevel="1">
      <c r="A26" s="145">
        <v>1</v>
      </c>
      <c r="B26" s="162" t="s">
        <v>150</v>
      </c>
      <c r="C26" s="53">
        <v>12</v>
      </c>
      <c r="D26" s="53">
        <v>1</v>
      </c>
      <c r="E26" s="53">
        <v>1</v>
      </c>
      <c r="F26" s="146">
        <v>720000</v>
      </c>
      <c r="G26" s="163">
        <f t="shared" ref="G26:G41" si="3">PRODUCT(C26:F26)</f>
        <v>8640000</v>
      </c>
      <c r="H26" s="148" t="s">
        <v>151</v>
      </c>
      <c r="J26" s="149">
        <f>F26*3</f>
        <v>2160000</v>
      </c>
      <c r="K26" s="149">
        <f>F26*6</f>
        <v>4320000</v>
      </c>
      <c r="L26" s="149">
        <f>F26*4</f>
        <v>2880000</v>
      </c>
    </row>
    <row r="27" spans="1:12" ht="24.9" hidden="1" customHeight="1" outlineLevel="1">
      <c r="A27" s="145">
        <v>2</v>
      </c>
      <c r="B27" s="162" t="s">
        <v>152</v>
      </c>
      <c r="C27" s="53">
        <v>4</v>
      </c>
      <c r="D27" s="53">
        <v>1</v>
      </c>
      <c r="E27" s="53">
        <v>1</v>
      </c>
      <c r="F27" s="146">
        <f>SUM(F28:F32)</f>
        <v>24100000</v>
      </c>
      <c r="G27" s="163">
        <f t="shared" si="3"/>
        <v>96400000</v>
      </c>
      <c r="H27" s="164"/>
      <c r="J27" s="149">
        <f>F27*1</f>
        <v>24100000</v>
      </c>
      <c r="K27" s="149">
        <f>F27*2</f>
        <v>48200000</v>
      </c>
      <c r="L27" s="149">
        <f>F27*1</f>
        <v>24100000</v>
      </c>
    </row>
    <row r="28" spans="1:12" ht="20.100000000000001" hidden="1" customHeight="1" outlineLevel="2">
      <c r="A28" s="145"/>
      <c r="B28" s="165" t="s">
        <v>153</v>
      </c>
      <c r="C28" s="166">
        <v>6</v>
      </c>
      <c r="D28" s="166">
        <v>1</v>
      </c>
      <c r="E28" s="166">
        <v>1</v>
      </c>
      <c r="F28" s="167">
        <f>3000000*1.1</f>
        <v>3300000.0000000005</v>
      </c>
      <c r="G28" s="168">
        <f t="shared" si="3"/>
        <v>19800000.000000004</v>
      </c>
      <c r="H28" s="225" t="s">
        <v>154</v>
      </c>
      <c r="J28" s="149"/>
      <c r="K28" s="149"/>
      <c r="L28" s="149"/>
    </row>
    <row r="29" spans="1:12" ht="20.100000000000001" hidden="1" customHeight="1" outlineLevel="2">
      <c r="A29" s="145"/>
      <c r="B29" s="165" t="s">
        <v>155</v>
      </c>
      <c r="C29" s="166">
        <v>12</v>
      </c>
      <c r="D29" s="166">
        <v>1</v>
      </c>
      <c r="E29" s="166">
        <v>1</v>
      </c>
      <c r="F29" s="167">
        <f>1000000*1.1</f>
        <v>1100000</v>
      </c>
      <c r="G29" s="168">
        <f t="shared" si="3"/>
        <v>13200000</v>
      </c>
      <c r="H29" s="225"/>
      <c r="J29" s="149"/>
      <c r="K29" s="149"/>
      <c r="L29" s="149"/>
    </row>
    <row r="30" spans="1:12" ht="20.100000000000001" hidden="1" customHeight="1" outlineLevel="2">
      <c r="A30" s="145"/>
      <c r="B30" s="165" t="s">
        <v>156</v>
      </c>
      <c r="C30" s="166">
        <v>1</v>
      </c>
      <c r="D30" s="166">
        <v>1</v>
      </c>
      <c r="E30" s="166">
        <v>8</v>
      </c>
      <c r="F30" s="167">
        <f>1000000*1.1</f>
        <v>1100000</v>
      </c>
      <c r="G30" s="168">
        <f t="shared" si="3"/>
        <v>8800000</v>
      </c>
      <c r="H30" s="225"/>
      <c r="J30" s="149"/>
      <c r="K30" s="149"/>
      <c r="L30" s="149"/>
    </row>
    <row r="31" spans="1:12" ht="20.100000000000001" hidden="1" customHeight="1" outlineLevel="2">
      <c r="A31" s="145"/>
      <c r="B31" s="165" t="s">
        <v>157</v>
      </c>
      <c r="C31" s="166">
        <v>1</v>
      </c>
      <c r="D31" s="166">
        <v>1</v>
      </c>
      <c r="E31" s="166">
        <v>1</v>
      </c>
      <c r="F31" s="167">
        <v>12000000</v>
      </c>
      <c r="G31" s="168">
        <f t="shared" si="3"/>
        <v>12000000</v>
      </c>
      <c r="H31" s="225"/>
      <c r="J31" s="149"/>
      <c r="K31" s="149"/>
      <c r="L31" s="149"/>
    </row>
    <row r="32" spans="1:12" ht="20.100000000000001" hidden="1" customHeight="1" outlineLevel="2">
      <c r="A32" s="145"/>
      <c r="B32" s="165" t="s">
        <v>158</v>
      </c>
      <c r="C32" s="166">
        <v>12</v>
      </c>
      <c r="D32" s="166">
        <v>1</v>
      </c>
      <c r="E32" s="166">
        <v>1</v>
      </c>
      <c r="F32" s="167">
        <v>6600000</v>
      </c>
      <c r="G32" s="168">
        <f t="shared" si="3"/>
        <v>79200000</v>
      </c>
      <c r="H32" s="225"/>
      <c r="J32" s="149"/>
      <c r="K32" s="149"/>
      <c r="L32" s="149"/>
    </row>
    <row r="33" spans="1:12" ht="49.95" hidden="1" customHeight="1" outlineLevel="1" collapsed="1">
      <c r="A33" s="145">
        <v>3</v>
      </c>
      <c r="B33" s="162" t="s">
        <v>159</v>
      </c>
      <c r="C33" s="53">
        <v>6</v>
      </c>
      <c r="D33" s="53">
        <v>2</v>
      </c>
      <c r="E33" s="53">
        <v>1</v>
      </c>
      <c r="F33" s="146">
        <v>4000000</v>
      </c>
      <c r="G33" s="163">
        <f t="shared" si="3"/>
        <v>48000000</v>
      </c>
      <c r="H33" s="148" t="s">
        <v>160</v>
      </c>
      <c r="J33" s="149">
        <f>F33*3</f>
        <v>12000000</v>
      </c>
      <c r="K33" s="149">
        <f>F33*6</f>
        <v>24000000</v>
      </c>
      <c r="L33" s="149">
        <f>F33*4</f>
        <v>16000000</v>
      </c>
    </row>
    <row r="34" spans="1:12" ht="60" hidden="1" customHeight="1" outlineLevel="1">
      <c r="A34" s="145">
        <v>4</v>
      </c>
      <c r="B34" s="162" t="s">
        <v>161</v>
      </c>
      <c r="C34" s="53">
        <v>1</v>
      </c>
      <c r="D34" s="53">
        <v>12</v>
      </c>
      <c r="E34" s="53">
        <v>1</v>
      </c>
      <c r="F34" s="146">
        <v>2000000</v>
      </c>
      <c r="G34" s="163">
        <f t="shared" si="3"/>
        <v>24000000</v>
      </c>
      <c r="H34" s="148" t="s">
        <v>162</v>
      </c>
      <c r="J34" s="149">
        <v>0</v>
      </c>
      <c r="K34" s="149">
        <v>0</v>
      </c>
      <c r="L34" s="149">
        <f>G34</f>
        <v>24000000</v>
      </c>
    </row>
    <row r="35" spans="1:12" ht="60" hidden="1" customHeight="1" outlineLevel="1">
      <c r="A35" s="145">
        <v>5</v>
      </c>
      <c r="B35" s="162" t="s">
        <v>163</v>
      </c>
      <c r="C35" s="53">
        <v>1</v>
      </c>
      <c r="D35" s="53">
        <v>12</v>
      </c>
      <c r="E35" s="53">
        <v>1</v>
      </c>
      <c r="F35" s="146">
        <v>2100000</v>
      </c>
      <c r="G35" s="163">
        <f t="shared" si="3"/>
        <v>25200000</v>
      </c>
      <c r="H35" s="148" t="s">
        <v>164</v>
      </c>
      <c r="J35" s="149">
        <v>0</v>
      </c>
      <c r="K35" s="149">
        <v>0</v>
      </c>
      <c r="L35" s="149">
        <f>G35</f>
        <v>25200000</v>
      </c>
    </row>
    <row r="36" spans="1:12" ht="49.95" hidden="1" customHeight="1" outlineLevel="1">
      <c r="A36" s="145">
        <v>6</v>
      </c>
      <c r="B36" s="162" t="s">
        <v>165</v>
      </c>
      <c r="C36" s="53">
        <v>2</v>
      </c>
      <c r="D36" s="53">
        <v>6</v>
      </c>
      <c r="E36" s="53">
        <v>1</v>
      </c>
      <c r="F36" s="146">
        <v>3500000</v>
      </c>
      <c r="G36" s="163">
        <f t="shared" si="3"/>
        <v>42000000</v>
      </c>
      <c r="H36" s="148" t="s">
        <v>166</v>
      </c>
      <c r="J36" s="149">
        <f>F36*1</f>
        <v>3500000</v>
      </c>
      <c r="K36" s="149">
        <f>F36*3</f>
        <v>10500000</v>
      </c>
      <c r="L36" s="149">
        <f>F36*1</f>
        <v>3500000</v>
      </c>
    </row>
    <row r="37" spans="1:12" ht="79.95" hidden="1" customHeight="1" outlineLevel="1">
      <c r="A37" s="145">
        <v>7</v>
      </c>
      <c r="B37" s="169" t="s">
        <v>167</v>
      </c>
      <c r="C37" s="53">
        <v>1</v>
      </c>
      <c r="D37" s="53">
        <v>12</v>
      </c>
      <c r="E37" s="53">
        <v>1</v>
      </c>
      <c r="F37" s="146">
        <v>1500000</v>
      </c>
      <c r="G37" s="163">
        <f t="shared" si="3"/>
        <v>18000000</v>
      </c>
      <c r="H37" s="170" t="s">
        <v>168</v>
      </c>
      <c r="J37" s="149">
        <v>0</v>
      </c>
      <c r="K37" s="149">
        <v>0</v>
      </c>
      <c r="L37" s="149">
        <v>0</v>
      </c>
    </row>
    <row r="38" spans="1:12" ht="30" hidden="1" customHeight="1" outlineLevel="1">
      <c r="A38" s="145">
        <v>8</v>
      </c>
      <c r="B38" s="162" t="s">
        <v>169</v>
      </c>
      <c r="C38" s="53">
        <v>2</v>
      </c>
      <c r="D38" s="53">
        <v>1</v>
      </c>
      <c r="E38" s="53">
        <v>6</v>
      </c>
      <c r="F38" s="146">
        <v>5000000</v>
      </c>
      <c r="G38" s="163">
        <f t="shared" si="3"/>
        <v>60000000</v>
      </c>
      <c r="H38" s="171" t="s">
        <v>170</v>
      </c>
      <c r="J38" s="149">
        <v>0</v>
      </c>
      <c r="K38" s="149">
        <v>0</v>
      </c>
      <c r="L38" s="149">
        <v>0</v>
      </c>
    </row>
    <row r="39" spans="1:12" ht="49.95" hidden="1" customHeight="1" outlineLevel="1">
      <c r="A39" s="145">
        <v>9</v>
      </c>
      <c r="B39" s="156" t="s">
        <v>171</v>
      </c>
      <c r="C39" s="53">
        <v>1</v>
      </c>
      <c r="D39" s="53">
        <v>2</v>
      </c>
      <c r="E39" s="53">
        <v>12</v>
      </c>
      <c r="F39" s="146">
        <v>1750000</v>
      </c>
      <c r="G39" s="163">
        <f t="shared" si="3"/>
        <v>42000000</v>
      </c>
      <c r="H39" s="171" t="s">
        <v>172</v>
      </c>
      <c r="J39" s="149">
        <f>F39*12</f>
        <v>21000000</v>
      </c>
      <c r="K39" s="149">
        <f>F39*12</f>
        <v>21000000</v>
      </c>
      <c r="L39" s="149">
        <v>0</v>
      </c>
    </row>
    <row r="40" spans="1:12" ht="70.2" hidden="1" customHeight="1" outlineLevel="1">
      <c r="A40" s="145">
        <v>10</v>
      </c>
      <c r="B40" s="162" t="s">
        <v>173</v>
      </c>
      <c r="C40" s="53">
        <v>1</v>
      </c>
      <c r="D40" s="53">
        <v>1</v>
      </c>
      <c r="E40" s="53">
        <v>12</v>
      </c>
      <c r="F40" s="146">
        <v>700000</v>
      </c>
      <c r="G40" s="163">
        <f>PRODUCT(C40:F40)</f>
        <v>8400000</v>
      </c>
      <c r="H40" s="171" t="s">
        <v>174</v>
      </c>
      <c r="J40" s="149">
        <v>0</v>
      </c>
      <c r="K40" s="149">
        <f>G40</f>
        <v>8400000</v>
      </c>
      <c r="L40" s="149">
        <v>0</v>
      </c>
    </row>
    <row r="41" spans="1:12" ht="40.049999999999997" hidden="1" customHeight="1" outlineLevel="1">
      <c r="A41" s="145">
        <v>11</v>
      </c>
      <c r="B41" s="162" t="s">
        <v>175</v>
      </c>
      <c r="C41" s="53">
        <v>1</v>
      </c>
      <c r="D41" s="53">
        <v>1</v>
      </c>
      <c r="E41" s="53">
        <v>12</v>
      </c>
      <c r="F41" s="146">
        <v>1850000</v>
      </c>
      <c r="G41" s="163">
        <f t="shared" si="3"/>
        <v>22200000</v>
      </c>
      <c r="H41" s="171" t="s">
        <v>176</v>
      </c>
      <c r="J41" s="149">
        <v>0</v>
      </c>
      <c r="K41" s="149">
        <v>0</v>
      </c>
      <c r="L41" s="149">
        <v>0</v>
      </c>
    </row>
    <row r="42" spans="1:12" s="127" customFormat="1" ht="24.9" customHeight="1" collapsed="1">
      <c r="A42" s="150" t="s">
        <v>177</v>
      </c>
      <c r="B42" s="230" t="s">
        <v>178</v>
      </c>
      <c r="C42" s="231"/>
      <c r="D42" s="231"/>
      <c r="E42" s="231"/>
      <c r="F42" s="153">
        <f>SUM(F6,F7,F8,F10,F11,F12,F13,F14,F17,F18,F19,F20,F21,F22,F26,F27,F33,F34,F35,F36,F37:F41)</f>
        <v>225079000</v>
      </c>
      <c r="G42" s="154">
        <f>SUM(G5,G9,G16,G25)</f>
        <v>2913808000</v>
      </c>
      <c r="H42" s="172"/>
      <c r="J42" s="144">
        <f>SUM(J5,J9,J16,J25)</f>
        <v>627987000</v>
      </c>
      <c r="K42" s="144">
        <f>SUM(K25,K16,K9)</f>
        <v>439250000</v>
      </c>
      <c r="L42" s="144">
        <f>SUM(L5,L9,L16,L25)</f>
        <v>844316000</v>
      </c>
    </row>
    <row r="43" spans="1:12" s="130" customFormat="1" ht="24.9" customHeight="1">
      <c r="A43" s="150" t="s">
        <v>179</v>
      </c>
      <c r="B43" s="151" t="s">
        <v>180</v>
      </c>
      <c r="C43" s="227"/>
      <c r="D43" s="228"/>
      <c r="E43" s="229"/>
      <c r="F43" s="173">
        <v>10</v>
      </c>
      <c r="G43" s="152">
        <v>10</v>
      </c>
      <c r="H43" s="164"/>
      <c r="J43" s="149">
        <v>11</v>
      </c>
      <c r="K43" s="149">
        <v>8</v>
      </c>
      <c r="L43" s="149">
        <v>11</v>
      </c>
    </row>
    <row r="44" spans="1:12" s="130" customFormat="1" ht="24.9" customHeight="1" thickBot="1">
      <c r="A44" s="174" t="s">
        <v>181</v>
      </c>
      <c r="B44" s="224" t="s">
        <v>182</v>
      </c>
      <c r="C44" s="224"/>
      <c r="D44" s="224"/>
      <c r="E44" s="224"/>
      <c r="F44" s="175">
        <f>F42/F43</f>
        <v>22507900</v>
      </c>
      <c r="G44" s="176">
        <f>G42/G43</f>
        <v>291380800</v>
      </c>
      <c r="H44" s="177"/>
      <c r="J44" s="144">
        <f>J42/J43</f>
        <v>57089727.272727273</v>
      </c>
      <c r="K44" s="144">
        <f>K42/K43</f>
        <v>54906250</v>
      </c>
      <c r="L44" s="144">
        <f>L42/L43</f>
        <v>76756000</v>
      </c>
    </row>
    <row r="45" spans="1:12">
      <c r="F45" s="178"/>
      <c r="L45" s="133"/>
    </row>
    <row r="46" spans="1:12">
      <c r="J46" s="149">
        <f>J42/6</f>
        <v>104664500</v>
      </c>
      <c r="K46" s="149">
        <f>K42/6</f>
        <v>73208333.333333328</v>
      </c>
      <c r="L46" s="149">
        <f>L42/6</f>
        <v>140719333.33333334</v>
      </c>
    </row>
    <row r="47" spans="1:12">
      <c r="L47" s="133"/>
    </row>
  </sheetData>
  <mergeCells count="7">
    <mergeCell ref="B44:E44"/>
    <mergeCell ref="H6:H8"/>
    <mergeCell ref="H17:H19"/>
    <mergeCell ref="C25:E25"/>
    <mergeCell ref="H28:H32"/>
    <mergeCell ref="B42:E42"/>
    <mergeCell ref="C43:E43"/>
  </mergeCells>
  <pageMargins left="0.7" right="0.7" top="0.75" bottom="0.75" header="0.3" footer="0.3"/>
  <pageSetup orientation="portrait" r:id="rId1"/>
  <ignoredErrors>
    <ignoredError sqref="G25"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7F48-E04B-446A-8260-1CCA178594D8}">
  <dimension ref="A1:L12"/>
  <sheetViews>
    <sheetView view="pageBreakPreview" zoomScale="90" zoomScaleNormal="90" zoomScaleSheetLayoutView="90" workbookViewId="0">
      <selection activeCell="I16" sqref="I16"/>
    </sheetView>
  </sheetViews>
  <sheetFormatPr defaultRowHeight="19.95" customHeight="1"/>
  <cols>
    <col min="1" max="6" width="20.77734375" style="119" customWidth="1"/>
    <col min="7" max="7" width="5.77734375" style="119" customWidth="1"/>
    <col min="8" max="8" width="10.77734375" style="119" customWidth="1"/>
    <col min="9" max="12" width="20.77734375" style="119" customWidth="1"/>
    <col min="13" max="13" width="8.88671875" style="119" customWidth="1"/>
    <col min="14" max="16384" width="8.88671875" style="119"/>
  </cols>
  <sheetData>
    <row r="1" spans="1:12" ht="15" customHeight="1"/>
    <row r="2" spans="1:12" ht="15" customHeight="1">
      <c r="A2" s="232" t="s">
        <v>108</v>
      </c>
      <c r="B2" s="232"/>
      <c r="C2" s="232"/>
      <c r="D2" s="232"/>
      <c r="E2" s="232"/>
      <c r="F2" s="232"/>
      <c r="H2" s="232" t="s">
        <v>109</v>
      </c>
      <c r="I2" s="233"/>
      <c r="J2" s="233"/>
      <c r="K2" s="233"/>
      <c r="L2" s="233"/>
    </row>
    <row r="3" spans="1:12" ht="15" customHeight="1">
      <c r="A3" s="232"/>
      <c r="B3" s="232"/>
      <c r="C3" s="232"/>
      <c r="D3" s="232"/>
      <c r="E3" s="232"/>
      <c r="F3" s="232"/>
      <c r="H3" s="233"/>
      <c r="I3" s="233"/>
      <c r="J3" s="233"/>
      <c r="K3" s="233"/>
      <c r="L3" s="233"/>
    </row>
    <row r="4" spans="1:12" ht="15" customHeight="1">
      <c r="A4" s="232"/>
      <c r="B4" s="232"/>
      <c r="C4" s="232"/>
      <c r="D4" s="232"/>
      <c r="E4" s="232"/>
      <c r="F4" s="232"/>
      <c r="H4" s="233"/>
      <c r="I4" s="233"/>
      <c r="J4" s="233"/>
      <c r="K4" s="233"/>
      <c r="L4" s="233"/>
    </row>
    <row r="5" spans="1:12" ht="14.4" customHeight="1">
      <c r="A5" s="232"/>
      <c r="B5" s="232"/>
      <c r="C5" s="232"/>
      <c r="D5" s="232"/>
      <c r="E5" s="232"/>
      <c r="F5" s="232"/>
      <c r="H5" s="233"/>
      <c r="I5" s="233"/>
      <c r="J5" s="233"/>
      <c r="K5" s="233"/>
      <c r="L5" s="233"/>
    </row>
    <row r="6" spans="1:12" ht="15" customHeight="1"/>
    <row r="7" spans="1:12" ht="30" customHeight="1">
      <c r="A7" s="124" t="s">
        <v>92</v>
      </c>
      <c r="B7" s="124" t="s">
        <v>93</v>
      </c>
      <c r="C7" s="124" t="s">
        <v>94</v>
      </c>
      <c r="D7" s="124" t="s">
        <v>95</v>
      </c>
      <c r="E7" s="124" t="s">
        <v>183</v>
      </c>
      <c r="F7" s="124" t="s">
        <v>184</v>
      </c>
      <c r="H7" s="126" t="s">
        <v>4</v>
      </c>
      <c r="I7" s="126" t="s">
        <v>100</v>
      </c>
      <c r="J7" s="126" t="s">
        <v>102</v>
      </c>
      <c r="K7" s="126" t="s">
        <v>103</v>
      </c>
      <c r="L7" s="126" t="s">
        <v>104</v>
      </c>
    </row>
    <row r="8" spans="1:12" ht="30" customHeight="1">
      <c r="A8" s="124" t="s">
        <v>96</v>
      </c>
      <c r="B8" s="121">
        <v>5850000000</v>
      </c>
      <c r="C8" s="121">
        <v>816000000</v>
      </c>
      <c r="D8" s="121">
        <v>2054650000</v>
      </c>
      <c r="E8" s="121">
        <v>1250000000</v>
      </c>
      <c r="F8" s="121">
        <v>10000000000</v>
      </c>
      <c r="H8" s="120">
        <v>1</v>
      </c>
      <c r="I8" s="120" t="s">
        <v>101</v>
      </c>
      <c r="J8" s="120">
        <v>2</v>
      </c>
      <c r="K8" s="121">
        <v>65000000</v>
      </c>
      <c r="L8" s="121">
        <f>K8*J8</f>
        <v>130000000</v>
      </c>
    </row>
    <row r="9" spans="1:12" ht="30" customHeight="1">
      <c r="A9" s="124" t="s">
        <v>97</v>
      </c>
      <c r="B9" s="122">
        <f>B8/C8</f>
        <v>7.1691176470588234</v>
      </c>
      <c r="C9" s="120">
        <v>1</v>
      </c>
      <c r="D9" s="122">
        <f>D8/C8</f>
        <v>2.5179534313725491</v>
      </c>
      <c r="E9" s="122">
        <f>E8/C8</f>
        <v>1.5318627450980393</v>
      </c>
      <c r="F9" s="122">
        <f>F8/C8</f>
        <v>12.254901960784315</v>
      </c>
      <c r="H9" s="120">
        <v>2</v>
      </c>
      <c r="I9" s="120" t="s">
        <v>105</v>
      </c>
      <c r="J9" s="120">
        <v>12</v>
      </c>
      <c r="K9" s="121">
        <v>3380000</v>
      </c>
      <c r="L9" s="121">
        <f>K9*J9</f>
        <v>40560000</v>
      </c>
    </row>
    <row r="10" spans="1:12" ht="40.049999999999997" customHeight="1">
      <c r="A10" s="125" t="s">
        <v>98</v>
      </c>
      <c r="B10" s="234">
        <f>L12</f>
        <v>181900000</v>
      </c>
      <c r="C10" s="235"/>
      <c r="D10" s="235"/>
      <c r="E10" s="235"/>
      <c r="F10" s="236"/>
      <c r="H10" s="120">
        <v>3</v>
      </c>
      <c r="I10" s="120" t="s">
        <v>106</v>
      </c>
      <c r="J10" s="120">
        <v>12</v>
      </c>
      <c r="K10" s="121">
        <v>450000</v>
      </c>
      <c r="L10" s="121">
        <f>K10*J10</f>
        <v>5400000</v>
      </c>
    </row>
    <row r="11" spans="1:12" ht="40.049999999999997" customHeight="1">
      <c r="A11" s="125" t="s">
        <v>99</v>
      </c>
      <c r="B11" s="123">
        <f>C11*B9</f>
        <v>53283944.188096032</v>
      </c>
      <c r="C11" s="123">
        <f>(B10/SUM(B9:F9))</f>
        <v>7432427.0867498061</v>
      </c>
      <c r="D11" s="123">
        <f>C11*D9</f>
        <v>18714505.286507953</v>
      </c>
      <c r="E11" s="123">
        <f>C11*E9</f>
        <v>11385458.15984958</v>
      </c>
      <c r="F11" s="123">
        <f>C11*F9</f>
        <v>91083665.278796643</v>
      </c>
      <c r="H11" s="120">
        <v>4</v>
      </c>
      <c r="I11" s="120" t="s">
        <v>185</v>
      </c>
      <c r="J11" s="120">
        <v>3</v>
      </c>
      <c r="K11" s="121">
        <v>1980000</v>
      </c>
      <c r="L11" s="121">
        <f>K11*J11</f>
        <v>5940000</v>
      </c>
    </row>
    <row r="12" spans="1:12" ht="40.049999999999997" customHeight="1">
      <c r="H12" s="237" t="s">
        <v>107</v>
      </c>
      <c r="I12" s="238"/>
      <c r="J12" s="238"/>
      <c r="K12" s="239"/>
      <c r="L12" s="123">
        <f>SUM(L8:L11)</f>
        <v>181900000</v>
      </c>
    </row>
  </sheetData>
  <mergeCells count="4">
    <mergeCell ref="A2:F5"/>
    <mergeCell ref="H2:L5"/>
    <mergeCell ref="B10:F10"/>
    <mergeCell ref="H12:K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BCTC_LHA</vt:lpstr>
      <vt:lpstr>LHA_ChiPhiDuAn-Overhead</vt:lpstr>
      <vt:lpstr>CP_VP-Overhead</vt:lpstr>
      <vt:lpstr>QuyDoiPhanMemVeDuAn</vt:lpstr>
      <vt:lpstr>BCTC_LHA!Print_Area</vt:lpstr>
      <vt:lpstr>'CP_VP-Overhead'!Print_Area</vt:lpstr>
      <vt:lpstr>'LHA_ChiPhiDuAn-Overhead'!Print_Area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Eden Nie</cp:lastModifiedBy>
  <cp:lastPrinted>2026-01-16T09:36:03Z</cp:lastPrinted>
  <dcterms:created xsi:type="dcterms:W3CDTF">2021-07-10T01:56:24Z</dcterms:created>
  <dcterms:modified xsi:type="dcterms:W3CDTF">2026-08-17T08:06:09Z</dcterms:modified>
</cp:coreProperties>
</file>