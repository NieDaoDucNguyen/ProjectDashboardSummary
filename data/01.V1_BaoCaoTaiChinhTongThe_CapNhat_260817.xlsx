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AUDE COWORK\2 . Mau-Template\5.ChiTietChiPhiDuAn\"/>
    </mc:Choice>
  </mc:AlternateContent>
  <xr:revisionPtr revIDLastSave="0" documentId="13_ncr:1_{F5AEA80E-68E3-4306-BED9-2C7892A0C71B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BC_DongTien_2026" sheetId="1" r:id="rId1"/>
    <sheet name="BC_ThuChi_2026" sheetId="2" r:id="rId2"/>
    <sheet name="CP_VP-Overhead" sheetId="3" r:id="rId3"/>
    <sheet name="CP_NhanSu" sheetId="4" r:id="rId4"/>
    <sheet name="TongHopLuongThuong_NhanSu" sheetId="5" r:id="rId5"/>
    <sheet name="Draft_BangNgachBacLuong" sheetId="6" r:id="rId6"/>
  </sheets>
  <externalReferences>
    <externalReference r:id="rId7"/>
  </externalReferences>
  <definedNames>
    <definedName name="_xlnm.Print_Area" localSheetId="0">BC_DongTien_2026!$A$2:$AH$90</definedName>
    <definedName name="_xlnm.Print_Area" localSheetId="1">BC_ThuChi_2026!$A$2:$J$116</definedName>
    <definedName name="_xlnm.Print_Area" localSheetId="3">CP_NhanSu!$A$1:$S$35</definedName>
    <definedName name="_xlnm.Print_Area" localSheetId="2">'CP_VP-Overhead'!$A$1:$H$44</definedName>
    <definedName name="_xlnm.Print_Area" localSheetId="5">Draft_BangNgachBacLuong!$A$1:$Q$99</definedName>
    <definedName name="_xlnm.Print_Area" localSheetId="4">TongHopLuongThuong_NhanSu!$A$1:$V$19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9" i="5" l="1"/>
  <c r="S8" i="5" l="1"/>
  <c r="R8" i="5"/>
  <c r="M12" i="5"/>
  <c r="M11" i="5"/>
  <c r="M10" i="5"/>
  <c r="M9" i="5"/>
  <c r="D87" i="2" l="1"/>
  <c r="AC86" i="1"/>
  <c r="C87" i="2"/>
  <c r="D86" i="2"/>
  <c r="D85" i="2"/>
  <c r="D88" i="2"/>
  <c r="C88" i="2"/>
  <c r="G36" i="2" l="1"/>
  <c r="Y74" i="1"/>
  <c r="V85" i="1"/>
  <c r="L85" i="1"/>
  <c r="T85" i="1"/>
  <c r="X85" i="1"/>
  <c r="R85" i="1"/>
  <c r="P85" i="1"/>
  <c r="N85" i="1"/>
  <c r="M85" i="1" l="1"/>
  <c r="O85" i="1" s="1"/>
  <c r="Q85" i="1" s="1"/>
  <c r="S85" i="1" s="1"/>
  <c r="U85" i="1" s="1"/>
  <c r="X58" i="1" l="1"/>
  <c r="X57" i="1" s="1"/>
  <c r="I69" i="2" l="1"/>
  <c r="I68" i="2"/>
  <c r="I67" i="2"/>
  <c r="AE82" i="1" l="1"/>
  <c r="AG82" i="1" s="1"/>
  <c r="AC82" i="1"/>
  <c r="AC83" i="1"/>
  <c r="AE83" i="1" s="1"/>
  <c r="AG83" i="1" s="1"/>
  <c r="X80" i="1" l="1"/>
  <c r="V80" i="1" l="1"/>
  <c r="I66" i="2" l="1"/>
  <c r="I65" i="2"/>
  <c r="I64" i="2"/>
  <c r="I63" i="2"/>
  <c r="F73" i="2"/>
  <c r="F72" i="2"/>
  <c r="F70" i="2"/>
  <c r="F71" i="2"/>
  <c r="F69" i="2"/>
  <c r="F68" i="2"/>
  <c r="F67" i="2"/>
  <c r="F66" i="2"/>
  <c r="F65" i="2"/>
  <c r="F64" i="2"/>
  <c r="F63" i="2"/>
  <c r="I54" i="2"/>
  <c r="I53" i="2"/>
  <c r="I52" i="2"/>
  <c r="I51" i="2"/>
  <c r="I50" i="2"/>
  <c r="I49" i="2"/>
  <c r="J40" i="2"/>
  <c r="J39" i="2"/>
  <c r="AE37" i="1" s="1"/>
  <c r="AE32" i="1" l="1"/>
  <c r="AG38" i="1"/>
  <c r="AG32" i="1" s="1"/>
  <c r="C60" i="2"/>
  <c r="C75" i="2"/>
  <c r="D74" i="2"/>
  <c r="D73" i="2"/>
  <c r="D72" i="2"/>
  <c r="D71" i="2"/>
  <c r="D70" i="2"/>
  <c r="D69" i="2"/>
  <c r="J69" i="2" s="1"/>
  <c r="AG65" i="1" s="1"/>
  <c r="D68" i="2"/>
  <c r="J68" i="2" s="1"/>
  <c r="AG64" i="1" s="1"/>
  <c r="D67" i="2"/>
  <c r="J67" i="2" s="1"/>
  <c r="AE63" i="1" s="1"/>
  <c r="AE57" i="1" s="1"/>
  <c r="D66" i="2"/>
  <c r="J66" i="2" s="1"/>
  <c r="AC62" i="1" s="1"/>
  <c r="D65" i="2"/>
  <c r="J65" i="2" s="1"/>
  <c r="AC61" i="1" s="1"/>
  <c r="AC57" i="1" s="1"/>
  <c r="D64" i="2"/>
  <c r="J64" i="2" s="1"/>
  <c r="AA60" i="1" s="1"/>
  <c r="AA57" i="1" s="1"/>
  <c r="D63" i="2"/>
  <c r="J63" i="2" s="1"/>
  <c r="Y59" i="1" s="1"/>
  <c r="Y57" i="1" s="1"/>
  <c r="H62" i="2"/>
  <c r="H61" i="2" s="1"/>
  <c r="J61" i="2"/>
  <c r="I61" i="2"/>
  <c r="I75" i="2" s="1"/>
  <c r="G61" i="2"/>
  <c r="G75" i="2" s="1"/>
  <c r="E61" i="2"/>
  <c r="D59" i="2"/>
  <c r="D58" i="2"/>
  <c r="D57" i="2"/>
  <c r="D56" i="2"/>
  <c r="D55" i="2"/>
  <c r="D54" i="2"/>
  <c r="J54" i="2" s="1"/>
  <c r="AG51" i="1" s="1"/>
  <c r="AG44" i="1" s="1"/>
  <c r="D53" i="2"/>
  <c r="J53" i="2" s="1"/>
  <c r="AE50" i="1" s="1"/>
  <c r="AE44" i="1" s="1"/>
  <c r="D52" i="2"/>
  <c r="J52" i="2" s="1"/>
  <c r="AC49" i="1" s="1"/>
  <c r="AC44" i="1" s="1"/>
  <c r="D51" i="2"/>
  <c r="J51" i="2" s="1"/>
  <c r="AA48" i="1" s="1"/>
  <c r="D50" i="2"/>
  <c r="J50" i="2" s="1"/>
  <c r="AA47" i="1" s="1"/>
  <c r="D49" i="2"/>
  <c r="J49" i="2" s="1"/>
  <c r="AA46" i="1" s="1"/>
  <c r="AA44" i="1" s="1"/>
  <c r="G48" i="2"/>
  <c r="G47" i="2" s="1"/>
  <c r="G60" i="2" s="1"/>
  <c r="D48" i="2"/>
  <c r="I47" i="2"/>
  <c r="I60" i="2" s="1"/>
  <c r="E47" i="2"/>
  <c r="J31" i="4"/>
  <c r="N91" i="6"/>
  <c r="J91" i="6"/>
  <c r="I91" i="6"/>
  <c r="O89" i="6"/>
  <c r="N89" i="6"/>
  <c r="M89" i="6"/>
  <c r="L89" i="6"/>
  <c r="L91" i="6" s="1"/>
  <c r="K89" i="6"/>
  <c r="K91" i="6" s="1"/>
  <c r="J89" i="6"/>
  <c r="I89" i="6"/>
  <c r="H89" i="6"/>
  <c r="G89" i="6"/>
  <c r="O88" i="6"/>
  <c r="N88" i="6"/>
  <c r="M88" i="6"/>
  <c r="L88" i="6"/>
  <c r="K88" i="6"/>
  <c r="J88" i="6"/>
  <c r="I88" i="6"/>
  <c r="H88" i="6"/>
  <c r="G88" i="6"/>
  <c r="O87" i="6"/>
  <c r="N87" i="6"/>
  <c r="M87" i="6"/>
  <c r="L87" i="6"/>
  <c r="K87" i="6"/>
  <c r="J87" i="6"/>
  <c r="I87" i="6"/>
  <c r="H87" i="6"/>
  <c r="G87" i="6"/>
  <c r="O86" i="6"/>
  <c r="N86" i="6"/>
  <c r="M86" i="6"/>
  <c r="L86" i="6"/>
  <c r="K86" i="6"/>
  <c r="J86" i="6"/>
  <c r="I86" i="6"/>
  <c r="H86" i="6"/>
  <c r="G86" i="6"/>
  <c r="O85" i="6"/>
  <c r="O91" i="6" s="1"/>
  <c r="N85" i="6"/>
  <c r="M85" i="6"/>
  <c r="M91" i="6" s="1"/>
  <c r="L85" i="6"/>
  <c r="K85" i="6"/>
  <c r="J85" i="6"/>
  <c r="I85" i="6"/>
  <c r="H85" i="6"/>
  <c r="H91" i="6" s="1"/>
  <c r="G85" i="6"/>
  <c r="G91" i="6" s="1"/>
  <c r="N77" i="6"/>
  <c r="O75" i="6"/>
  <c r="N75" i="6"/>
  <c r="M75" i="6"/>
  <c r="L75" i="6"/>
  <c r="L77" i="6" s="1"/>
  <c r="K75" i="6"/>
  <c r="J75" i="6"/>
  <c r="I75" i="6"/>
  <c r="H75" i="6"/>
  <c r="G75" i="6"/>
  <c r="O74" i="6"/>
  <c r="N74" i="6"/>
  <c r="M74" i="6"/>
  <c r="L74" i="6"/>
  <c r="K74" i="6"/>
  <c r="J74" i="6"/>
  <c r="I74" i="6"/>
  <c r="H74" i="6"/>
  <c r="G74" i="6"/>
  <c r="O73" i="6"/>
  <c r="O77" i="6" s="1"/>
  <c r="N73" i="6"/>
  <c r="M73" i="6"/>
  <c r="L73" i="6"/>
  <c r="K73" i="6"/>
  <c r="J73" i="6"/>
  <c r="I73" i="6"/>
  <c r="H73" i="6"/>
  <c r="G73" i="6"/>
  <c r="O72" i="6"/>
  <c r="N72" i="6"/>
  <c r="M72" i="6"/>
  <c r="L72" i="6"/>
  <c r="K72" i="6"/>
  <c r="J72" i="6"/>
  <c r="J77" i="6" s="1"/>
  <c r="I72" i="6"/>
  <c r="H72" i="6"/>
  <c r="G72" i="6"/>
  <c r="G77" i="6" s="1"/>
  <c r="O71" i="6"/>
  <c r="N71" i="6"/>
  <c r="M71" i="6"/>
  <c r="M77" i="6" s="1"/>
  <c r="L71" i="6"/>
  <c r="K71" i="6"/>
  <c r="K77" i="6" s="1"/>
  <c r="J71" i="6"/>
  <c r="I71" i="6"/>
  <c r="I77" i="6" s="1"/>
  <c r="H71" i="6"/>
  <c r="H77" i="6" s="1"/>
  <c r="G71" i="6"/>
  <c r="J63" i="6"/>
  <c r="H63" i="6"/>
  <c r="O61" i="6"/>
  <c r="N61" i="6"/>
  <c r="M61" i="6"/>
  <c r="L61" i="6"/>
  <c r="K61" i="6"/>
  <c r="J61" i="6"/>
  <c r="I61" i="6"/>
  <c r="H61" i="6"/>
  <c r="G61" i="6"/>
  <c r="O60" i="6"/>
  <c r="N60" i="6"/>
  <c r="M60" i="6"/>
  <c r="L60" i="6"/>
  <c r="K60" i="6"/>
  <c r="J60" i="6"/>
  <c r="I60" i="6"/>
  <c r="H60" i="6"/>
  <c r="G60" i="6"/>
  <c r="O59" i="6"/>
  <c r="N59" i="6"/>
  <c r="M59" i="6"/>
  <c r="L59" i="6"/>
  <c r="K59" i="6"/>
  <c r="J59" i="6"/>
  <c r="I59" i="6"/>
  <c r="H59" i="6"/>
  <c r="G59" i="6"/>
  <c r="O58" i="6"/>
  <c r="N58" i="6"/>
  <c r="M58" i="6"/>
  <c r="L58" i="6"/>
  <c r="K58" i="6"/>
  <c r="J58" i="6"/>
  <c r="I58" i="6"/>
  <c r="H58" i="6"/>
  <c r="G58" i="6"/>
  <c r="O57" i="6"/>
  <c r="O63" i="6" s="1"/>
  <c r="N57" i="6"/>
  <c r="N63" i="6" s="1"/>
  <c r="M57" i="6"/>
  <c r="M63" i="6" s="1"/>
  <c r="L57" i="6"/>
  <c r="L63" i="6" s="1"/>
  <c r="K57" i="6"/>
  <c r="K63" i="6" s="1"/>
  <c r="J57" i="6"/>
  <c r="I57" i="6"/>
  <c r="I63" i="6" s="1"/>
  <c r="H57" i="6"/>
  <c r="G57" i="6"/>
  <c r="G63" i="6" s="1"/>
  <c r="L50" i="6"/>
  <c r="I50" i="6"/>
  <c r="M48" i="6"/>
  <c r="L48" i="6"/>
  <c r="K48" i="6"/>
  <c r="J48" i="6"/>
  <c r="I48" i="6"/>
  <c r="H48" i="6"/>
  <c r="G48" i="6"/>
  <c r="M47" i="6"/>
  <c r="L47" i="6"/>
  <c r="K47" i="6"/>
  <c r="J47" i="6"/>
  <c r="I47" i="6"/>
  <c r="H47" i="6"/>
  <c r="G47" i="6"/>
  <c r="M46" i="6"/>
  <c r="L46" i="6"/>
  <c r="K46" i="6"/>
  <c r="J46" i="6"/>
  <c r="J50" i="6" s="1"/>
  <c r="I46" i="6"/>
  <c r="H46" i="6"/>
  <c r="G46" i="6"/>
  <c r="M45" i="6"/>
  <c r="L45" i="6"/>
  <c r="K45" i="6"/>
  <c r="J45" i="6"/>
  <c r="I45" i="6"/>
  <c r="H45" i="6"/>
  <c r="G45" i="6"/>
  <c r="M44" i="6"/>
  <c r="M50" i="6" s="1"/>
  <c r="L44" i="6"/>
  <c r="K44" i="6"/>
  <c r="K50" i="6" s="1"/>
  <c r="J44" i="6"/>
  <c r="I44" i="6"/>
  <c r="H44" i="6"/>
  <c r="H50" i="6" s="1"/>
  <c r="G44" i="6"/>
  <c r="G50" i="6" s="1"/>
  <c r="K38" i="6"/>
  <c r="M36" i="6"/>
  <c r="L36" i="6"/>
  <c r="K36" i="6"/>
  <c r="J36" i="6"/>
  <c r="I36" i="6"/>
  <c r="H36" i="6"/>
  <c r="G36" i="6"/>
  <c r="M35" i="6"/>
  <c r="L35" i="6"/>
  <c r="K35" i="6"/>
  <c r="J35" i="6"/>
  <c r="I35" i="6"/>
  <c r="H35" i="6"/>
  <c r="G35" i="6"/>
  <c r="M34" i="6"/>
  <c r="L34" i="6"/>
  <c r="L38" i="6" s="1"/>
  <c r="K34" i="6"/>
  <c r="J34" i="6"/>
  <c r="I34" i="6"/>
  <c r="H34" i="6"/>
  <c r="G34" i="6"/>
  <c r="M33" i="6"/>
  <c r="L33" i="6"/>
  <c r="K33" i="6"/>
  <c r="J33" i="6"/>
  <c r="I33" i="6"/>
  <c r="H33" i="6"/>
  <c r="G33" i="6"/>
  <c r="M32" i="6"/>
  <c r="M38" i="6" s="1"/>
  <c r="L32" i="6"/>
  <c r="K32" i="6"/>
  <c r="J32" i="6"/>
  <c r="J38" i="6" s="1"/>
  <c r="I32" i="6"/>
  <c r="I38" i="6" s="1"/>
  <c r="H32" i="6"/>
  <c r="H38" i="6" s="1"/>
  <c r="G32" i="6"/>
  <c r="G38" i="6" s="1"/>
  <c r="M25" i="6"/>
  <c r="M23" i="6"/>
  <c r="L23" i="6"/>
  <c r="K23" i="6"/>
  <c r="J23" i="6"/>
  <c r="I23" i="6"/>
  <c r="H23" i="6"/>
  <c r="G23" i="6"/>
  <c r="M22" i="6"/>
  <c r="L22" i="6"/>
  <c r="K22" i="6"/>
  <c r="J22" i="6"/>
  <c r="I22" i="6"/>
  <c r="H22" i="6"/>
  <c r="G22" i="6"/>
  <c r="M21" i="6"/>
  <c r="L21" i="6"/>
  <c r="K21" i="6"/>
  <c r="J21" i="6"/>
  <c r="I21" i="6"/>
  <c r="H21" i="6"/>
  <c r="G21" i="6"/>
  <c r="G25" i="6" s="1"/>
  <c r="M20" i="6"/>
  <c r="L20" i="6"/>
  <c r="K20" i="6"/>
  <c r="J20" i="6"/>
  <c r="I20" i="6"/>
  <c r="H20" i="6"/>
  <c r="G20" i="6"/>
  <c r="M19" i="6"/>
  <c r="L19" i="6"/>
  <c r="L25" i="6" s="1"/>
  <c r="K19" i="6"/>
  <c r="K25" i="6" s="1"/>
  <c r="J19" i="6"/>
  <c r="J25" i="6" s="1"/>
  <c r="I19" i="6"/>
  <c r="I25" i="6" s="1"/>
  <c r="H19" i="6"/>
  <c r="H25" i="6" s="1"/>
  <c r="G19" i="6"/>
  <c r="M11" i="6"/>
  <c r="L11" i="6"/>
  <c r="K11" i="6"/>
  <c r="J11" i="6"/>
  <c r="I11" i="6"/>
  <c r="H11" i="6"/>
  <c r="G11" i="6"/>
  <c r="M10" i="6"/>
  <c r="L10" i="6"/>
  <c r="K10" i="6"/>
  <c r="J10" i="6"/>
  <c r="I10" i="6"/>
  <c r="H10" i="6"/>
  <c r="G10" i="6"/>
  <c r="M9" i="6"/>
  <c r="L9" i="6"/>
  <c r="K9" i="6"/>
  <c r="J9" i="6"/>
  <c r="I9" i="6"/>
  <c r="I13" i="6" s="1"/>
  <c r="H9" i="6"/>
  <c r="G9" i="6"/>
  <c r="G13" i="6" s="1"/>
  <c r="M8" i="6"/>
  <c r="L8" i="6"/>
  <c r="K8" i="6"/>
  <c r="J8" i="6"/>
  <c r="I8" i="6"/>
  <c r="H8" i="6"/>
  <c r="H13" i="6" s="1"/>
  <c r="G8" i="6"/>
  <c r="M7" i="6"/>
  <c r="M13" i="6" s="1"/>
  <c r="L7" i="6"/>
  <c r="L13" i="6" s="1"/>
  <c r="K7" i="6"/>
  <c r="K13" i="6" s="1"/>
  <c r="J7" i="6"/>
  <c r="J13" i="6" s="1"/>
  <c r="I7" i="6"/>
  <c r="H7" i="6"/>
  <c r="G7" i="6"/>
  <c r="U19" i="5"/>
  <c r="R29" i="4" s="1"/>
  <c r="Q19" i="5"/>
  <c r="P19" i="5"/>
  <c r="O19" i="5"/>
  <c r="N19" i="5"/>
  <c r="M19" i="5"/>
  <c r="K19" i="5"/>
  <c r="J19" i="5"/>
  <c r="I19" i="5"/>
  <c r="H19" i="5"/>
  <c r="G19" i="5"/>
  <c r="S18" i="5"/>
  <c r="R18" i="5"/>
  <c r="L18" i="5"/>
  <c r="S17" i="5"/>
  <c r="R17" i="5"/>
  <c r="L17" i="5"/>
  <c r="S16" i="5"/>
  <c r="R16" i="5"/>
  <c r="L16" i="5"/>
  <c r="S15" i="5"/>
  <c r="R15" i="5"/>
  <c r="L15" i="5"/>
  <c r="S14" i="5"/>
  <c r="R14" i="5"/>
  <c r="L14" i="5"/>
  <c r="S13" i="5"/>
  <c r="R13" i="5"/>
  <c r="L13" i="5"/>
  <c r="S12" i="5"/>
  <c r="R12" i="5"/>
  <c r="L12" i="5"/>
  <c r="S11" i="5"/>
  <c r="R11" i="5"/>
  <c r="L11" i="5"/>
  <c r="S10" i="5"/>
  <c r="R10" i="5"/>
  <c r="L10" i="5"/>
  <c r="S9" i="5"/>
  <c r="R9" i="5"/>
  <c r="L9" i="5"/>
  <c r="S7" i="5"/>
  <c r="R7" i="5"/>
  <c r="L7" i="5"/>
  <c r="S6" i="5"/>
  <c r="R6" i="5"/>
  <c r="L6" i="5"/>
  <c r="H31" i="4"/>
  <c r="P29" i="4"/>
  <c r="I29" i="4"/>
  <c r="H29" i="4"/>
  <c r="G28" i="4"/>
  <c r="G27" i="4"/>
  <c r="G26" i="4"/>
  <c r="R24" i="4"/>
  <c r="Q24" i="4"/>
  <c r="P24" i="4"/>
  <c r="O24" i="4"/>
  <c r="M24" i="4"/>
  <c r="L24" i="4"/>
  <c r="K24" i="4"/>
  <c r="J24" i="4"/>
  <c r="F24" i="4"/>
  <c r="G24" i="4" s="1"/>
  <c r="R23" i="4"/>
  <c r="Q23" i="4"/>
  <c r="P23" i="4"/>
  <c r="O23" i="4"/>
  <c r="M23" i="4"/>
  <c r="L23" i="4"/>
  <c r="K23" i="4"/>
  <c r="J23" i="4"/>
  <c r="R22" i="4"/>
  <c r="Q22" i="4"/>
  <c r="P22" i="4"/>
  <c r="O22" i="4"/>
  <c r="M22" i="4"/>
  <c r="N22" i="4" s="1"/>
  <c r="L22" i="4"/>
  <c r="K22" i="4"/>
  <c r="J22" i="4"/>
  <c r="G22" i="4"/>
  <c r="R21" i="4"/>
  <c r="Q21" i="4"/>
  <c r="P21" i="4"/>
  <c r="O21" i="4"/>
  <c r="M21" i="4"/>
  <c r="L21" i="4"/>
  <c r="K21" i="4"/>
  <c r="N21" i="4" s="1"/>
  <c r="J21" i="4"/>
  <c r="R19" i="4"/>
  <c r="Q19" i="4"/>
  <c r="P19" i="4"/>
  <c r="O19" i="4"/>
  <c r="M19" i="4"/>
  <c r="L19" i="4"/>
  <c r="K19" i="4"/>
  <c r="J19" i="4"/>
  <c r="R18" i="4"/>
  <c r="Q18" i="4"/>
  <c r="P18" i="4"/>
  <c r="O18" i="4"/>
  <c r="M18" i="4"/>
  <c r="L18" i="4"/>
  <c r="K18" i="4"/>
  <c r="J18" i="4"/>
  <c r="R17" i="4"/>
  <c r="Q17" i="4"/>
  <c r="P17" i="4"/>
  <c r="O17" i="4"/>
  <c r="M17" i="4"/>
  <c r="L17" i="4"/>
  <c r="K17" i="4"/>
  <c r="J17" i="4"/>
  <c r="G17" i="4"/>
  <c r="R15" i="4"/>
  <c r="Q15" i="4"/>
  <c r="P15" i="4"/>
  <c r="O15" i="4"/>
  <c r="M15" i="4"/>
  <c r="L15" i="4"/>
  <c r="K15" i="4"/>
  <c r="J15" i="4"/>
  <c r="G15" i="4"/>
  <c r="R14" i="4"/>
  <c r="Q14" i="4"/>
  <c r="P14" i="4"/>
  <c r="O14" i="4"/>
  <c r="M14" i="4"/>
  <c r="N14" i="4" s="1"/>
  <c r="L14" i="4"/>
  <c r="K14" i="4"/>
  <c r="J14" i="4"/>
  <c r="R13" i="4"/>
  <c r="Q13" i="4"/>
  <c r="P13" i="4"/>
  <c r="O13" i="4"/>
  <c r="M13" i="4"/>
  <c r="N13" i="4" s="1"/>
  <c r="L13" i="4"/>
  <c r="K13" i="4"/>
  <c r="J13" i="4"/>
  <c r="R8" i="4"/>
  <c r="Q8" i="4"/>
  <c r="P8" i="4"/>
  <c r="O8" i="4"/>
  <c r="M8" i="4"/>
  <c r="L8" i="4"/>
  <c r="K8" i="4"/>
  <c r="J8" i="4"/>
  <c r="J29" i="4" s="1"/>
  <c r="R7" i="4"/>
  <c r="Q7" i="4"/>
  <c r="P7" i="4"/>
  <c r="O7" i="4"/>
  <c r="M7" i="4"/>
  <c r="L7" i="4"/>
  <c r="L29" i="4" s="1"/>
  <c r="K7" i="4"/>
  <c r="J7" i="4"/>
  <c r="G41" i="3"/>
  <c r="G40" i="3"/>
  <c r="K40" i="3" s="1"/>
  <c r="K39" i="3"/>
  <c r="J39" i="3"/>
  <c r="G39" i="3"/>
  <c r="G38" i="3"/>
  <c r="G37" i="3"/>
  <c r="L36" i="3"/>
  <c r="K36" i="3"/>
  <c r="J36" i="3"/>
  <c r="G36" i="3"/>
  <c r="G35" i="3"/>
  <c r="L35" i="3" s="1"/>
  <c r="G34" i="3"/>
  <c r="L34" i="3" s="1"/>
  <c r="L33" i="3"/>
  <c r="K33" i="3"/>
  <c r="J33" i="3"/>
  <c r="G33" i="3"/>
  <c r="G32" i="3"/>
  <c r="G31" i="3"/>
  <c r="F30" i="3"/>
  <c r="G30" i="3" s="1"/>
  <c r="G29" i="3"/>
  <c r="F29" i="3"/>
  <c r="F28" i="3"/>
  <c r="G28" i="3" s="1"/>
  <c r="L26" i="3"/>
  <c r="K26" i="3"/>
  <c r="J26" i="3"/>
  <c r="G26" i="3"/>
  <c r="L24" i="3"/>
  <c r="G24" i="3"/>
  <c r="L23" i="3"/>
  <c r="J23" i="3"/>
  <c r="G23" i="3"/>
  <c r="L22" i="3"/>
  <c r="K22" i="3"/>
  <c r="J22" i="3"/>
  <c r="G22" i="3"/>
  <c r="L21" i="3"/>
  <c r="K21" i="3"/>
  <c r="J21" i="3"/>
  <c r="G21" i="3"/>
  <c r="L20" i="3"/>
  <c r="K20" i="3"/>
  <c r="J20" i="3"/>
  <c r="G20" i="3"/>
  <c r="L19" i="3"/>
  <c r="K19" i="3"/>
  <c r="J19" i="3"/>
  <c r="G19" i="3"/>
  <c r="L18" i="3"/>
  <c r="K18" i="3"/>
  <c r="J18" i="3"/>
  <c r="G18" i="3"/>
  <c r="L17" i="3"/>
  <c r="K17" i="3"/>
  <c r="J17" i="3"/>
  <c r="G17" i="3"/>
  <c r="L15" i="3"/>
  <c r="J15" i="3"/>
  <c r="G15" i="3"/>
  <c r="L14" i="3"/>
  <c r="K14" i="3"/>
  <c r="J14" i="3"/>
  <c r="G14" i="3"/>
  <c r="L13" i="3"/>
  <c r="K13" i="3"/>
  <c r="J13" i="3"/>
  <c r="G13" i="3"/>
  <c r="L12" i="3"/>
  <c r="K12" i="3"/>
  <c r="G12" i="3"/>
  <c r="L11" i="3"/>
  <c r="K11" i="3"/>
  <c r="J11" i="3"/>
  <c r="G11" i="3"/>
  <c r="L10" i="3"/>
  <c r="K10" i="3"/>
  <c r="K9" i="3" s="1"/>
  <c r="J10" i="3"/>
  <c r="G10" i="3"/>
  <c r="K8" i="3"/>
  <c r="F8" i="3"/>
  <c r="K7" i="3"/>
  <c r="J7" i="3"/>
  <c r="G7" i="3"/>
  <c r="F7" i="3"/>
  <c r="L7" i="3" s="1"/>
  <c r="L6" i="3"/>
  <c r="K6" i="3"/>
  <c r="J6" i="3"/>
  <c r="G6" i="3"/>
  <c r="D78" i="2"/>
  <c r="C78" i="2"/>
  <c r="C46" i="2"/>
  <c r="D45" i="2"/>
  <c r="D44" i="2"/>
  <c r="D43" i="2"/>
  <c r="D42" i="2"/>
  <c r="D41" i="2"/>
  <c r="D40" i="2"/>
  <c r="D39" i="2"/>
  <c r="J38" i="2"/>
  <c r="I38" i="2"/>
  <c r="D38" i="2"/>
  <c r="J37" i="2"/>
  <c r="AA35" i="1" s="1"/>
  <c r="I37" i="2"/>
  <c r="D37" i="2"/>
  <c r="F36" i="2"/>
  <c r="D36" i="2"/>
  <c r="H35" i="2"/>
  <c r="R33" i="1" s="1"/>
  <c r="R32" i="1" s="1"/>
  <c r="G34" i="2"/>
  <c r="G46" i="2" s="1"/>
  <c r="H46" i="2" s="1"/>
  <c r="C96" i="2" s="1"/>
  <c r="E34" i="2"/>
  <c r="C33" i="2"/>
  <c r="D32" i="2"/>
  <c r="D31" i="2"/>
  <c r="D30" i="2"/>
  <c r="D29" i="2"/>
  <c r="D28" i="2"/>
  <c r="J28" i="2" s="1"/>
  <c r="AC27" i="1" s="1"/>
  <c r="D27" i="2"/>
  <c r="J27" i="2" s="1"/>
  <c r="AA26" i="1" s="1"/>
  <c r="D26" i="2"/>
  <c r="J26" i="2" s="1"/>
  <c r="AA25" i="1" s="1"/>
  <c r="I25" i="2"/>
  <c r="D25" i="2"/>
  <c r="J25" i="2" s="1"/>
  <c r="D24" i="2"/>
  <c r="H24" i="2" s="1"/>
  <c r="X23" i="1" s="1"/>
  <c r="X19" i="1" s="1"/>
  <c r="D23" i="2"/>
  <c r="G22" i="2"/>
  <c r="D22" i="2"/>
  <c r="H22" i="2" s="1"/>
  <c r="P21" i="1" s="1"/>
  <c r="P19" i="1" s="1"/>
  <c r="G21" i="2"/>
  <c r="D21" i="2"/>
  <c r="E20" i="2"/>
  <c r="D18" i="2"/>
  <c r="D17" i="2"/>
  <c r="J17" i="2" s="1"/>
  <c r="D16" i="2"/>
  <c r="J16" i="2" s="1"/>
  <c r="AG16" i="1" s="1"/>
  <c r="AG9" i="1" s="1"/>
  <c r="D15" i="2"/>
  <c r="J15" i="2" s="1"/>
  <c r="AC15" i="1" s="1"/>
  <c r="AC9" i="1" s="1"/>
  <c r="D14" i="2"/>
  <c r="J14" i="2" s="1"/>
  <c r="Y14" i="1" s="1"/>
  <c r="D13" i="2"/>
  <c r="J13" i="2" s="1"/>
  <c r="Y13" i="1" s="1"/>
  <c r="D12" i="2"/>
  <c r="J12" i="2" s="1"/>
  <c r="G11" i="2"/>
  <c r="D11" i="2"/>
  <c r="H11" i="2" s="1"/>
  <c r="G10" i="2"/>
  <c r="D10" i="2"/>
  <c r="H10" i="2" s="1"/>
  <c r="I9" i="2"/>
  <c r="I19" i="2" s="1"/>
  <c r="E9" i="2"/>
  <c r="C9" i="2"/>
  <c r="W83" i="1"/>
  <c r="U83" i="1"/>
  <c r="T83" i="1"/>
  <c r="W82" i="1"/>
  <c r="U82" i="1"/>
  <c r="T82" i="1"/>
  <c r="C86" i="2" s="1"/>
  <c r="AC81" i="1"/>
  <c r="W81" i="1"/>
  <c r="U81" i="1"/>
  <c r="T81" i="1"/>
  <c r="C85" i="2" s="1"/>
  <c r="R80" i="1"/>
  <c r="P80" i="1"/>
  <c r="N80" i="1"/>
  <c r="L80" i="1"/>
  <c r="J80" i="1"/>
  <c r="H80" i="1"/>
  <c r="H88" i="1" s="1"/>
  <c r="F80" i="1"/>
  <c r="N74" i="1"/>
  <c r="L74" i="1"/>
  <c r="F74" i="1"/>
  <c r="D74" i="1"/>
  <c r="D88" i="1" s="1"/>
  <c r="P9" i="1"/>
  <c r="N19" i="4" l="1"/>
  <c r="N18" i="4"/>
  <c r="N17" i="4"/>
  <c r="N23" i="4"/>
  <c r="N8" i="4"/>
  <c r="L19" i="5"/>
  <c r="R19" i="5"/>
  <c r="N7" i="4"/>
  <c r="Q29" i="4"/>
  <c r="O29" i="4"/>
  <c r="Q31" i="4" s="1"/>
  <c r="K29" i="4"/>
  <c r="K31" i="4" s="1"/>
  <c r="N15" i="4"/>
  <c r="N24" i="4"/>
  <c r="H36" i="2"/>
  <c r="T34" i="1" s="1"/>
  <c r="AA32" i="1"/>
  <c r="AC36" i="1"/>
  <c r="AC32" i="1" s="1"/>
  <c r="AG57" i="1"/>
  <c r="AA24" i="1"/>
  <c r="AA19" i="1" s="1"/>
  <c r="K5" i="3"/>
  <c r="J16" i="3"/>
  <c r="L16" i="3"/>
  <c r="K16" i="3"/>
  <c r="G16" i="3"/>
  <c r="L9" i="3"/>
  <c r="G9" i="3"/>
  <c r="J9" i="3"/>
  <c r="G9" i="2"/>
  <c r="G19" i="2" s="1"/>
  <c r="J47" i="2"/>
  <c r="J60" i="2" s="1"/>
  <c r="D97" i="2" s="1"/>
  <c r="Y23" i="1"/>
  <c r="H23" i="2"/>
  <c r="T22" i="1" s="1"/>
  <c r="T19" i="1" s="1"/>
  <c r="J30" i="2"/>
  <c r="AG29" i="1" s="1"/>
  <c r="AG19" i="1" s="1"/>
  <c r="J29" i="2"/>
  <c r="AE28" i="1" s="1"/>
  <c r="AE19" i="1" s="1"/>
  <c r="AE88" i="1" s="1"/>
  <c r="F88" i="1"/>
  <c r="AA80" i="1"/>
  <c r="L88" i="1"/>
  <c r="P88" i="1"/>
  <c r="D61" i="2"/>
  <c r="F61" i="2"/>
  <c r="H75" i="2"/>
  <c r="C98" i="2" s="1"/>
  <c r="J75" i="2"/>
  <c r="D98" i="2" s="1"/>
  <c r="D47" i="2"/>
  <c r="H48" i="2"/>
  <c r="I20" i="2"/>
  <c r="I33" i="2" s="1"/>
  <c r="J34" i="2"/>
  <c r="F34" i="2"/>
  <c r="C84" i="2"/>
  <c r="I34" i="2"/>
  <c r="I46" i="2" s="1"/>
  <c r="D34" i="2"/>
  <c r="D20" i="2"/>
  <c r="G20" i="2"/>
  <c r="G33" i="2" s="1"/>
  <c r="H21" i="2"/>
  <c r="U80" i="1"/>
  <c r="W80" i="1"/>
  <c r="Y80" i="1"/>
  <c r="J10" i="1"/>
  <c r="J9" i="1" s="1"/>
  <c r="J88" i="1" s="1"/>
  <c r="H9" i="2"/>
  <c r="AC24" i="1"/>
  <c r="AC19" i="1" s="1"/>
  <c r="Y12" i="1"/>
  <c r="Y9" i="1" s="1"/>
  <c r="Y88" i="1" s="1"/>
  <c r="J9" i="2"/>
  <c r="L8" i="3"/>
  <c r="L5" i="3" s="1"/>
  <c r="D9" i="2"/>
  <c r="AE81" i="1"/>
  <c r="T80" i="1"/>
  <c r="F27" i="3"/>
  <c r="F42" i="3" s="1"/>
  <c r="M29" i="4"/>
  <c r="G8" i="3"/>
  <c r="G5" i="3" s="1"/>
  <c r="J8" i="3"/>
  <c r="J5" i="3" s="1"/>
  <c r="N29" i="4" l="1"/>
  <c r="H34" i="2"/>
  <c r="AC88" i="1"/>
  <c r="AA88" i="1"/>
  <c r="AG88" i="1"/>
  <c r="H47" i="2"/>
  <c r="H60" i="2" s="1"/>
  <c r="C97" i="2" s="1"/>
  <c r="X45" i="1"/>
  <c r="X44" i="1" s="1"/>
  <c r="X88" i="1" s="1"/>
  <c r="Y85" i="1"/>
  <c r="AC85" i="1" s="1"/>
  <c r="AE85" i="1" s="1"/>
  <c r="AG85" i="1" s="1"/>
  <c r="H76" i="2"/>
  <c r="F44" i="3"/>
  <c r="R88" i="1"/>
  <c r="T88" i="1"/>
  <c r="J20" i="2"/>
  <c r="J7" i="2" s="1"/>
  <c r="H20" i="2"/>
  <c r="H19" i="2"/>
  <c r="C94" i="2" s="1"/>
  <c r="J19" i="2"/>
  <c r="D94" i="2" s="1"/>
  <c r="AC80" i="1"/>
  <c r="N20" i="1"/>
  <c r="N19" i="1" s="1"/>
  <c r="N88" i="1" s="1"/>
  <c r="J46" i="2"/>
  <c r="D96" i="2" s="1"/>
  <c r="H33" i="2"/>
  <c r="C95" i="2" s="1"/>
  <c r="G27" i="3"/>
  <c r="G25" i="3" s="1"/>
  <c r="G42" i="3" s="1"/>
  <c r="G44" i="3" s="1"/>
  <c r="J27" i="3"/>
  <c r="J25" i="3" s="1"/>
  <c r="J42" i="3" s="1"/>
  <c r="L27" i="3"/>
  <c r="L25" i="3" s="1"/>
  <c r="L42" i="3" s="1"/>
  <c r="K27" i="3"/>
  <c r="K25" i="3" s="1"/>
  <c r="K42" i="3" s="1"/>
  <c r="AE80" i="1"/>
  <c r="AG81" i="1"/>
  <c r="C90" i="1" l="1"/>
  <c r="H7" i="2"/>
  <c r="H89" i="2" s="1"/>
  <c r="C99" i="2"/>
  <c r="J33" i="2"/>
  <c r="AA85" i="1"/>
  <c r="J44" i="3"/>
  <c r="J46" i="3"/>
  <c r="L46" i="3"/>
  <c r="L44" i="3"/>
  <c r="AG80" i="1"/>
  <c r="D84" i="2"/>
  <c r="J76" i="2" s="1"/>
  <c r="J89" i="2" s="1"/>
  <c r="K46" i="3"/>
  <c r="K44" i="3"/>
  <c r="H91" i="2" l="1"/>
  <c r="H109" i="2" s="1"/>
  <c r="H110" i="2" s="1"/>
  <c r="D95" i="2"/>
  <c r="D99" i="2" s="1"/>
  <c r="H90" i="2"/>
  <c r="U88" i="1"/>
  <c r="C89" i="1" s="1"/>
  <c r="J90" i="2"/>
  <c r="J91" i="2" l="1"/>
  <c r="J109" i="2" s="1"/>
  <c r="J11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 TRINH</author>
  </authors>
  <commentList>
    <comment ref="F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HUY TRINH:
Chi phí lương công ty phải trả bao gồm tất cả các thuế phí…</t>
        </r>
      </text>
    </comment>
  </commentList>
</comments>
</file>

<file path=xl/sharedStrings.xml><?xml version="1.0" encoding="utf-8"?>
<sst xmlns="http://schemas.openxmlformats.org/spreadsheetml/2006/main" count="1090" uniqueCount="415">
  <si>
    <t>BÁO CÁO DÒNG TIỀN TÀI CHÍNH CÔNG TY</t>
  </si>
  <si>
    <t>TÌNH HÌNH HOẠT ĐỘNG 2026</t>
  </si>
  <si>
    <t>NGÀY CẬP NHẬT : 17/ 08/ 2026</t>
  </si>
  <si>
    <t>I</t>
  </si>
  <si>
    <t>TÀI CHÍNH</t>
  </si>
  <si>
    <t>NĂM 2025</t>
  </si>
  <si>
    <t>NĂM 2026</t>
  </si>
  <si>
    <t>A</t>
  </si>
  <si>
    <t>TỔNG THU</t>
  </si>
  <si>
    <t>THÁNG 09</t>
  </si>
  <si>
    <t>THÁNG 10</t>
  </si>
  <si>
    <t>THÁNG 11</t>
  </si>
  <si>
    <t>THÁNG 12</t>
  </si>
  <si>
    <t>THÁNG 01</t>
  </si>
  <si>
    <t>THÁNG 02</t>
  </si>
  <si>
    <t>THÁNG 03</t>
  </si>
  <si>
    <t>THÁNG 04</t>
  </si>
  <si>
    <t>THÁNG 05</t>
  </si>
  <si>
    <t>THÁNG 06</t>
  </si>
  <si>
    <t>THÁNG 07</t>
  </si>
  <si>
    <t>THÁNG 08</t>
  </si>
  <si>
    <t>Mã</t>
  </si>
  <si>
    <t>Tên công việc/ hạng mục</t>
  </si>
  <si>
    <t>Dự kiến</t>
  </si>
  <si>
    <t>Thực tế</t>
  </si>
  <si>
    <t>Red Dragon</t>
  </si>
  <si>
    <t>Sau khi ký hợp đồng</t>
  </si>
  <si>
    <t>Nộp TKCS</t>
  </si>
  <si>
    <t>Duyệt TKCS</t>
  </si>
  <si>
    <t>Lập hồ sơ PCCC - TKCS</t>
  </si>
  <si>
    <t>Lập hồ sơ PCCC - TKKT</t>
  </si>
  <si>
    <t>Nộp TKKT</t>
  </si>
  <si>
    <t>Duyệt TKKT</t>
  </si>
  <si>
    <t>Nộp TKTC</t>
  </si>
  <si>
    <t>Duyệt TKTC</t>
  </si>
  <si>
    <t>CCTP1 &amp; CCTP 2</t>
  </si>
  <si>
    <t>Phí huy động nhân sự</t>
  </si>
  <si>
    <t>Hoàn thành kiểm tra và hoàn thiện thiết kế concept hiện hữu</t>
  </si>
  <si>
    <t>Hoàn thành workshop với CĐT</t>
  </si>
  <si>
    <t>Sau khi bên B nộp hồ sơ hardcopy TKCS cho bên A</t>
  </si>
  <si>
    <t>CĐT phê duyệt TKCS và có VB thẩm định TKCS</t>
  </si>
  <si>
    <t>Sau khi bên B nộp hồ sơ hardcopy TKKT cho bên A</t>
  </si>
  <si>
    <t>Sau khi bên B nộp hồ sơ PCCC cho bên A</t>
  </si>
  <si>
    <t>Sau khi CĐT phê duyệt TKKT và PCCC</t>
  </si>
  <si>
    <t>Sau khi bên B nộp hồ sơ hardcopy TKTC ngầm cho bên A</t>
  </si>
  <si>
    <t>Sau khi bên B nộp hồ sơ hardcopy TKTC thân cho bên A</t>
  </si>
  <si>
    <t xml:space="preserve">Sau khi CĐT phê duyệt hồ sơ TKTC </t>
  </si>
  <si>
    <t>Sau khi dự án hoàn thành, nghiệm thu và đưa vào sử dụng</t>
  </si>
  <si>
    <t>C8A</t>
  </si>
  <si>
    <t>Tạm ứng</t>
  </si>
  <si>
    <t>Sản phẩm được nghiệm thu, phê duyệt</t>
  </si>
  <si>
    <t>B</t>
  </si>
  <si>
    <t>TỔNG CHI</t>
  </si>
  <si>
    <t>Mã đối tượng</t>
  </si>
  <si>
    <t>Tên công việc
/ hạng mục</t>
  </si>
  <si>
    <t>Chi phí đầu tư</t>
  </si>
  <si>
    <t>Tiền cọc văn phòng</t>
  </si>
  <si>
    <t>Tên miền Website
(PA Vietnam)</t>
  </si>
  <si>
    <t>Dịch vụ email
(Mát Bão)</t>
  </si>
  <si>
    <t>Đăng ký Internet</t>
  </si>
  <si>
    <t>Mua BHTNHH Công ty</t>
  </si>
  <si>
    <t>Chi phí lương nhân sự</t>
  </si>
  <si>
    <t>Đóng BHXH</t>
  </si>
  <si>
    <t>Đóng CPCĐ</t>
  </si>
  <si>
    <t>Đóng thuế GTGT</t>
  </si>
  <si>
    <t>Chi phí Overhead</t>
  </si>
  <si>
    <t>C</t>
  </si>
  <si>
    <t>THƯỞNG DỰ ÁN</t>
  </si>
  <si>
    <t>D</t>
  </si>
  <si>
    <t>THƯỞNG CÔNG TY</t>
  </si>
  <si>
    <t>E</t>
  </si>
  <si>
    <t>TỔNG GIÁ TRỊ ÂM</t>
  </si>
  <si>
    <t>TỔNG GIÁ TRỊ DƯƠNG</t>
  </si>
  <si>
    <t>4</t>
  </si>
  <si>
    <t>LHA</t>
  </si>
  <si>
    <t>4.1</t>
  </si>
  <si>
    <t>4.2</t>
  </si>
  <si>
    <t>4.3</t>
  </si>
  <si>
    <t>Sau khi bên B trình bày (Workshop) với Chủ đầu tư về các giải pháp chính cho Kiến Trúc trong giai đoạn Thiết kế cơ sở</t>
  </si>
  <si>
    <t>4.4</t>
  </si>
  <si>
    <t>Sau khi bên B nộp hồ sơ hardcopy Thiết kế cơ sở Kiến trúc cho Bên A</t>
  </si>
  <si>
    <t>4.5</t>
  </si>
  <si>
    <t>Sau khi Chủ đầu tư phê duyệt Thiết kế cơ sở Kiến trúc và có văn bản thẩm định TKCS</t>
  </si>
  <si>
    <t>4.6</t>
  </si>
  <si>
    <t>Sau khi bên B nộp hồ sơ hardcopy Thiết kế kỹ thuật Kiến trúc cho CĐT</t>
  </si>
  <si>
    <t>4.7</t>
  </si>
  <si>
    <t>Sau khi bên B nộp hồ sơ thiết kế PCCC Kiến trúc cho Bên A</t>
  </si>
  <si>
    <t>4.8</t>
  </si>
  <si>
    <t>Sau khi Chủ đầu tư phê duyệt Thiết kế kỹ thuật và PCCC Kiến trúc</t>
  </si>
  <si>
    <t>4.9</t>
  </si>
  <si>
    <t>Sau khi bên B nộp hồ sơ hardcopy Thiết kế bản vẽ thi công Kiến trúc phần ngầm cho Chủ đầu tư</t>
  </si>
  <si>
    <t>4.10</t>
  </si>
  <si>
    <t>Sau khi bên B nộp hồ sơ hardcopy Thiết kế bản vẽ thi công Kiến trúc phần thân cho Chủ đầu tư</t>
  </si>
  <si>
    <t>4.11</t>
  </si>
  <si>
    <t>Sau khi Chủ đầu tư phê duyệt Thiết kế bản vẽ thi công Kiến trúc</t>
  </si>
  <si>
    <t>4.12</t>
  </si>
  <si>
    <t>Sau khi dự án hoàn thành và được nghiệm thu đưa vào sử dụng</t>
  </si>
  <si>
    <t>5</t>
  </si>
  <si>
    <t>DQMH</t>
  </si>
  <si>
    <t>5.1</t>
  </si>
  <si>
    <t>5.2</t>
  </si>
  <si>
    <t>5.3</t>
  </si>
  <si>
    <t>5.4</t>
  </si>
  <si>
    <t>Sau khi bên B trình bày (Workshop) với Chủ đầu tư về các giải pháp chính cho Kiến Trúc giai đoạn Thiết kế cơ sở</t>
  </si>
  <si>
    <t>5.5</t>
  </si>
  <si>
    <t>Sau khi bên B nộp hồ sơ Hardcopy Thiết kế cơ sở Kiến trúc cho bên A</t>
  </si>
  <si>
    <t>5.6</t>
  </si>
  <si>
    <t>Sau khi Chủ đầu tư phê duyệt Thiết kế cơ sở Kiến Trúc và có văn bản Thẩm định TKCS</t>
  </si>
  <si>
    <t>5.7</t>
  </si>
  <si>
    <t>Sau khi bên B nộp hồ sơ Thiết kế kỹ thuật Kiến Trúc cho bên A</t>
  </si>
  <si>
    <t>5.8</t>
  </si>
  <si>
    <t>Sau khi bên B nộp hồ sơ Thiết kê PCCC cho bên A</t>
  </si>
  <si>
    <t>5.9</t>
  </si>
  <si>
    <t>Sau khi Chủ đầu tư phê duyệt Thiết kế kỹ thuật và Thiết kế PCCC Kiến Trúc</t>
  </si>
  <si>
    <t>5.10</t>
  </si>
  <si>
    <t>Sau khi bên B nộp hồ sơ TKTC Kiến Trúc phần Ngầm cho bên A</t>
  </si>
  <si>
    <t>5.11</t>
  </si>
  <si>
    <t>Sau khi bên B nộp hồ sơ TKTC Kiến Trúc phần Thân cho bên A</t>
  </si>
  <si>
    <t>5.12</t>
  </si>
  <si>
    <t>Sau khi CĐT phê duyệt hồ sơ TKTC Kiến Trúc cho bên A</t>
  </si>
  <si>
    <t>5.13</t>
  </si>
  <si>
    <t>BÁO CÁO TÀI CHÍNH CÔNG TY</t>
  </si>
  <si>
    <t>I . TÀI CHÍNH</t>
  </si>
  <si>
    <t>THỰC TẾ</t>
  </si>
  <si>
    <t>DỰ KIẾN</t>
  </si>
  <si>
    <t>Giá trị HĐ 
(chưa VAT)</t>
  </si>
  <si>
    <t>Giá trị theo HĐ 
(gồm VAT)</t>
  </si>
  <si>
    <t>Tỷ lệ
(%)</t>
  </si>
  <si>
    <t>Tạm Ứng</t>
  </si>
  <si>
    <t>Tỷ lệ 
hoàn thành</t>
  </si>
  <si>
    <t>Giá trị thu 
thực tế</t>
  </si>
  <si>
    <t>Tỷ lệ hoàn thành thêm dự kiến</t>
  </si>
  <si>
    <t>-</t>
  </si>
  <si>
    <t>Lợi nhuận dự án tối thiểu</t>
  </si>
  <si>
    <t>Giá trị
(Đã thực hiện)</t>
  </si>
  <si>
    <t>Giá trị
(Dự kiến)</t>
  </si>
  <si>
    <t>Phát sinh 
dự kiến</t>
  </si>
  <si>
    <t>Tên miền Website (PA Vietnam)</t>
  </si>
  <si>
    <t>Dịch vụ email (Mát Bão)</t>
  </si>
  <si>
    <t>Chi phí lương</t>
  </si>
  <si>
    <t>Đóng BHXH, CPCĐ</t>
  </si>
  <si>
    <t>CHÊNH LỆCH THU CHI THỰC TẾ</t>
  </si>
  <si>
    <t>TỶ SUẤT LỢI NHUẬN</t>
  </si>
  <si>
    <t>F</t>
  </si>
  <si>
    <t>THUẾ THU NHẬP DOANH NGHIỆP</t>
  </si>
  <si>
    <t>2025/ 2026/ 2027 được miễn thuế</t>
  </si>
  <si>
    <t>G</t>
  </si>
  <si>
    <t>LỢI NHUẬN</t>
  </si>
  <si>
    <t>H</t>
  </si>
  <si>
    <t>TỶ SUẤT LỢI NHUẬN %</t>
  </si>
  <si>
    <t>II . PHÊ DUYỆT</t>
  </si>
  <si>
    <t>NGƯỜI LẬP</t>
  </si>
  <si>
    <t>PHÊ DUYỆT</t>
  </si>
  <si>
    <t>GIÁM ĐỐC</t>
  </si>
  <si>
    <t>CHỦ TỊCH HĐQT</t>
  </si>
  <si>
    <t>ngày … tháng … năm ...</t>
  </si>
  <si>
    <t>CHI PHÍ OVERHEAD (VĂN PHÒNG, LƯƠNG GIÁN TIẾP . . .)</t>
  </si>
  <si>
    <t>DỰ TRÙ TRUNG BÌNH HÀNG THÁNG</t>
  </si>
  <si>
    <t>Chi phí dự trù cho 14 người bao gồm 12 nhân viên chính thức và 2 quản lý</t>
  </si>
  <si>
    <t>STT</t>
  </si>
  <si>
    <t>DIỄN GIẢI</t>
  </si>
  <si>
    <t>THỜI GIAN
(T)</t>
  </si>
  <si>
    <t>HỆ SỐ TG</t>
  </si>
  <si>
    <t>SỐ LƯỢNG</t>
  </si>
  <si>
    <t>CHI PHÍ 
(/tháng)</t>
  </si>
  <si>
    <t>THÀNH TIỀN
(VNĐ)</t>
  </si>
  <si>
    <t>GHI CHÚ</t>
  </si>
  <si>
    <t>T6/2026 - T8/2026</t>
  </si>
  <si>
    <t>T9/2025 - T4/2026</t>
  </si>
  <si>
    <t>T9/2026 - T12/2026</t>
  </si>
  <si>
    <t>LƯƠNG NHÂN SỰ GIÁN TIẾP</t>
  </si>
  <si>
    <t>Nhân viên dọn dẹp văn phòng</t>
  </si>
  <si>
    <t>Bao gồm Lương quản lý doanh nghiệp, phụ cấp và bảo hiểm.</t>
  </si>
  <si>
    <t>Giám đốc quản lý doanh nghiệp</t>
  </si>
  <si>
    <t>Phó giám đốc quản lý doanh nghiệp</t>
  </si>
  <si>
    <t>II</t>
  </si>
  <si>
    <t>KHẤU HAO TÀI SẢN</t>
  </si>
  <si>
    <t>Máy tính sử dụng trong văn phòng</t>
  </si>
  <si>
    <t>Đang tính đủ 14 máy tính , khấu hao 2 năm</t>
  </si>
  <si>
    <t>Thiết bị lưu trữ (NAS)</t>
  </si>
  <si>
    <t>Khấu hao 2 năm</t>
  </si>
  <si>
    <t>Dịch vụ tuyển dụng (CareerViet, Vietnamwork…)</t>
  </si>
  <si>
    <t>Dịch vụ trong 6 tháng và có thể tái tiếp tục dịch vụ</t>
  </si>
  <si>
    <t>Nội thất sử dụng trong văn phòng (10/2025)</t>
  </si>
  <si>
    <t>Ghế sofa, ghế đôn, bàn lớn và nhỏ, khấu hao 2 năm</t>
  </si>
  <si>
    <t>Cụm bàn 4 người làm việc và ghế  (Đầu năm 2026)</t>
  </si>
  <si>
    <t>Một cụm 4 bàn ghế cho nhân viên, khấu hao 2 năm</t>
  </si>
  <si>
    <t>4 bộ bàn ghế (Nữa cuối năm 2026)</t>
  </si>
  <si>
    <t>III</t>
  </si>
  <si>
    <t>THUÊ VĂN PHÒNG</t>
  </si>
  <si>
    <t>Tiền thuê văn phòng</t>
  </si>
  <si>
    <t xml:space="preserve">Dựa trên dữ liệu hàng tháng </t>
  </si>
  <si>
    <t>Tiền điện</t>
  </si>
  <si>
    <t>Tiền gửi xe máy</t>
  </si>
  <si>
    <t>Tiền thuê máy in</t>
  </si>
  <si>
    <t>Hộ kinh doanh cung cấp, thay mực miễn phí</t>
  </si>
  <si>
    <t>Tiền văn phòng phẩm + ký gửi hồ sơ</t>
  </si>
  <si>
    <t>Mua giấy phục vụ in ấn thiết yếu cho văn phòng</t>
  </si>
  <si>
    <t>Tiền nước uống (bình 20L)</t>
  </si>
  <si>
    <t>Trung bình 1 tuần 5 bình nước, 1 tháng khoảng 20 bình nước và giá trung bình 1 bình khoảng 70,000VNĐ/ bình (giá gồm VAT)</t>
  </si>
  <si>
    <t>Chi phí phần mềm bản quyền (Windows Pro 11, AEC student)</t>
  </si>
  <si>
    <t>Mua 12 license Window Pro 11, 12 AEC Student và 2 Office Family</t>
  </si>
  <si>
    <t>Chi phí phần mềm bản quyền AEC bản quyền (2 license)</t>
  </si>
  <si>
    <t>Dự kiến mua 1 license sau khi trúng dự án mới</t>
  </si>
  <si>
    <t>IV</t>
  </si>
  <si>
    <t>CHI PHÍ KHÁC</t>
  </si>
  <si>
    <t>Tiền thưởng sinh nhật</t>
  </si>
  <si>
    <t>Nhân viên : 500,000 VNĐ/ người (9)
Trưởng nhóm : 700,000 VNĐ/ người (3)
Quản lý : 1,000,000 VNĐ/ người (2)</t>
  </si>
  <si>
    <t>Thuê bộ phận Kế Toán</t>
  </si>
  <si>
    <t>Phí xuất hóa đơn 1 tháng</t>
  </si>
  <si>
    <t>1 kỳ dịch vụ Kế Toán kéo dài trong 3 tháng hay 1 quý</t>
  </si>
  <si>
    <t>Phí tính lương</t>
  </si>
  <si>
    <t>Phí tăng giảm nhân viên</t>
  </si>
  <si>
    <t>Phí quyết toán thuế năm</t>
  </si>
  <si>
    <t>Phí sổ sách, dịch vụ Kế toán trưởng</t>
  </si>
  <si>
    <t>Chi phí ăn uống tăng ca</t>
  </si>
  <si>
    <t>Tăng ca không quá 6 tháng/ năm
Mỗi tháng dự trù mua đồ ăn, thức uống từ siêu thị hoặc đặt đồ ăn nhanh, dự kiến 2 tuần/ lần.</t>
  </si>
  <si>
    <t>Chế độ khám sức khỏe</t>
  </si>
  <si>
    <t>Nhân viên : 1,500,000 VNĐ/ người (8)
Trưởng nhóm : 1,700,000 VNĐ/ người (3)
Quản lý : 2,500,000 VNĐ/ người (2)
1 năm khám sức khỏe tổng quát 1 lần</t>
  </si>
  <si>
    <t>Chế độ teambuilding hàng năm</t>
  </si>
  <si>
    <t>Nhân viên : 1,500,000 VNĐ/ người
Trưởng nhóm : 1,700,000 VNĐ/ người
Quản lý : 3,000,000 VNĐ/ người
1 năm tổ chức teambuilding 1 lần</t>
  </si>
  <si>
    <t>Chế độ họp mặt công ty định kỳ</t>
  </si>
  <si>
    <t>Họp mặt công ty hàng 2 tháng/ lần
Tổ chức tiệc sinh nhật hàng tháng
Trung bình 500k/ người</t>
  </si>
  <si>
    <t>Chế độ thăm hỏi, ốm đau</t>
  </si>
  <si>
    <t>Nhân viên : 1,000,000 VNĐ/ người/ lần
Trưởng nhóm : 1,200,000 VNĐ/ người/ lần
Quản lý : 2,500,000 VNĐ/ người/ lần
Bệnh nặng nằm viện hoặc nghỉ ốm trên 3 ngày, dự kiến 1 người/ lần/ năm.</t>
  </si>
  <si>
    <t>Chi phí tiếp khách, mở rộng quan hệ khách hàng</t>
  </si>
  <si>
    <t>Dự kiến 2 tháng/ lần.
Định mức : 5,000,000 VNĐ/ lần</t>
  </si>
  <si>
    <t>Chi phí quà cáp dịp lễ cho khách hàng (Tết ta, Trung thu)</t>
  </si>
  <si>
    <t>Định mức :
- Tết ta : 1,000,000 VNĐ/ người - Dự trù 10 người
- Trung thu : 1,000,000 VNĐ/ người - Dự trù 10 người</t>
  </si>
  <si>
    <t>Chi phí quà cho nhân viên (Tết ta)</t>
  </si>
  <si>
    <t>Định mức : 
- Nhân viên : 600,000 VNĐ/ phần
- Trưởng nhóm : 800,000 VNĐ/ phần
- Quản lý : 1,500,000 VNĐ/ phần</t>
  </si>
  <si>
    <t>Chi phí tổ chức tiệc tất niên cuối năm</t>
  </si>
  <si>
    <t>Định mức : Nhân viên là 1,500,000 VNĐ/ người (tiệc và quà), Quản lý 2,000,000 VNĐ/ người</t>
  </si>
  <si>
    <t>V</t>
  </si>
  <si>
    <t>TỔNG CỘNG CHI PHÍ VĂN PHÒNG VÀ LƯƠNG GIÁN TIẾP</t>
  </si>
  <si>
    <t>VI</t>
  </si>
  <si>
    <t>SỐ LƯỢNG TRỰC TIẾP TẠO RA DOANH THU</t>
  </si>
  <si>
    <t>VII</t>
  </si>
  <si>
    <t>CHI PHÍ OVERHEAD/ NGƯỜI/ THÁNG</t>
  </si>
  <si>
    <t>CHI PHÍ LƯƠNG -  THƯỞNG NHÂN SỰ VÀ CHI PHÍ CÔNG TY CHI TRẢ THÊM CHO NHÂN SỰ</t>
  </si>
  <si>
    <t>DỰ TRÙ TRUNG BÌNH NĂM 2026 - TÍNH ĐẾN ĐẦU 08/ 2026</t>
  </si>
  <si>
    <t>MÃ 
NHÂN VIÊN</t>
  </si>
  <si>
    <t>HỌ VÀ TÊN</t>
  </si>
  <si>
    <t>VAI TRÒ</t>
  </si>
  <si>
    <t>PHÒNG BAN</t>
  </si>
  <si>
    <t>NGÀY 
THỬ VIỆC</t>
  </si>
  <si>
    <t>HỢP ĐỒNG CHÍNH THỨC</t>
  </si>
  <si>
    <t>MỨC LƯƠNG
THỎA THUẬN</t>
  </si>
  <si>
    <t>MỨC ĐÓNG 
BHXH</t>
  </si>
  <si>
    <t xml:space="preserve">TỔNG LƯƠNG TRONG NĂM </t>
  </si>
  <si>
    <t>TỔNG THƯỞNG TRONG NĂM 
(≈ 3 tháng lương)</t>
  </si>
  <si>
    <t>BHXH CÔNG TY CHI TRẢ</t>
  </si>
  <si>
    <t>KINH PHÍ CÔNG ĐOÀN 
CÔNG TY CHI TRẢ</t>
  </si>
  <si>
    <t>THỰC TẾ HIỆN TẠI</t>
  </si>
  <si>
    <t>TỶ LỆ THƯỞNG/ LƯƠNG THỰC TẾ</t>
  </si>
  <si>
    <t>I . QUẢN LÝ CẤP CAO (GIÁM ĐỐC - PHÓ GIÁM ĐỐC)</t>
  </si>
  <si>
    <t>VONE01</t>
  </si>
  <si>
    <t>Niê Đào Đức Nguyên</t>
  </si>
  <si>
    <t>Giám đốc</t>
  </si>
  <si>
    <t>BGĐ</t>
  </si>
  <si>
    <t>VONE02</t>
  </si>
  <si>
    <t>Hoàng Công Thao</t>
  </si>
  <si>
    <t>Phó Giám đốc</t>
  </si>
  <si>
    <t>Tăng 10% từ 01/08/2026</t>
  </si>
  <si>
    <t>II . QUẢN LÝTRUNG CẤP (GIÁM ĐỐC THIẾT KẾ - KIẾN TRÚC)</t>
  </si>
  <si>
    <t>Quản lý dự án</t>
  </si>
  <si>
    <t>P. Kiến Trúc</t>
  </si>
  <si>
    <t>GĐ Thiết Kế Kiến Trúc</t>
  </si>
  <si>
    <t>II . QUẢN LÝ SƠ CẤP (TRƯỞNG NHÓM)</t>
  </si>
  <si>
    <t>VONE06</t>
  </si>
  <si>
    <t>Nguyễn Tạ Sơn Tùng</t>
  </si>
  <si>
    <t>Trưởng Nhóm triển khai</t>
  </si>
  <si>
    <t>Thiết kế triển khai</t>
  </si>
  <si>
    <t>Trưởng nhóm_Level 2.
Hoàn thành 8 tháng thử thách, tăng lương 10% từ 01/08/2026 như đã hứa trong phỏng vấn tban đầu.</t>
  </si>
  <si>
    <t>VONE10</t>
  </si>
  <si>
    <t>Huỳnh Chí Hải</t>
  </si>
  <si>
    <t>Trưởng nhóm_Level 3</t>
  </si>
  <si>
    <t>VONE03</t>
  </si>
  <si>
    <t>Hồ Tâm Trí</t>
  </si>
  <si>
    <t>III . CHUYÊN VIÊN</t>
  </si>
  <si>
    <t>Ngô Đức Thịnh</t>
  </si>
  <si>
    <t>Kiến trúc sư triển khai</t>
  </si>
  <si>
    <t>Đào tạo lên vai trò Trưởng nhóm_Level 3</t>
  </si>
  <si>
    <t>VONE04</t>
  </si>
  <si>
    <t>Dương Đại Phúc</t>
  </si>
  <si>
    <t>Nhân viên_Level 2</t>
  </si>
  <si>
    <t>VONE05</t>
  </si>
  <si>
    <t>Nguyễn Hiếu Hồng Ngọc</t>
  </si>
  <si>
    <t>IV . NHÂN VIÊN</t>
  </si>
  <si>
    <t>VONE07</t>
  </si>
  <si>
    <t>Nguyễn Hoàng Như Mai</t>
  </si>
  <si>
    <t>Chuyên viên_Level 2</t>
  </si>
  <si>
    <t>VONE11</t>
  </si>
  <si>
    <t>Nguyễn Nhựt Khương</t>
  </si>
  <si>
    <t>VONE08</t>
  </si>
  <si>
    <t>Đỗ Quỳnh Như</t>
  </si>
  <si>
    <t>19/7/2026</t>
  </si>
  <si>
    <t>Nhân viên_Level 3</t>
  </si>
  <si>
    <t>VONE13</t>
  </si>
  <si>
    <t>Thân Mạnh Tín</t>
  </si>
  <si>
    <t>Chuyên viên_Level 1</t>
  </si>
  <si>
    <t>V . THỰC TẬP SINH</t>
  </si>
  <si>
    <t>VONE-TTS01</t>
  </si>
  <si>
    <t>Huỳnh Thị Trúc</t>
  </si>
  <si>
    <t>Thực tập sinh</t>
  </si>
  <si>
    <t>VONE-TTS02</t>
  </si>
  <si>
    <t>Nguyễn Thị Thanh Nhạn</t>
  </si>
  <si>
    <t>VONE-TTS03</t>
  </si>
  <si>
    <t>Nguyễn Thị Như Quỳnh</t>
  </si>
  <si>
    <t>T Ổ N G         C Ộ N G</t>
  </si>
  <si>
    <t>TỔNG LƯƠNG KHÔNG BAO GỒM QUẢN LÝ ĐIỀU HÀNH (GIÁM ĐỐC/PHÓ GIÁM ĐỐC)</t>
  </si>
  <si>
    <t>TỔNG BHXH VÀ CÔNG ĐOÀN 2026 DỰ KIẾN NỘP NHÀ NƯỚC</t>
  </si>
  <si>
    <t xml:space="preserve">Thưởng tối đa 3 tháng lương : 
- Dự án : 3-4 lần ( Định mức 0,5 tháng x hệ số )
- Tết tây : 0,5 - 1 tháng x hệ số
- Tết tây : 1 tháng lương x hệ số (Tùy theo kế hoạch SXKD mà có thể bổ sung 0,5-1 tháng)
---&gt; Đảm bảo thu nhập tăng ít nhất 30% (khoảng 3 tháng lương)
Thưởng nhân viên, chuyên viên xuất sắc : 0,5 tháng lương
Thưởng trưởng nhóm xuất sắc : 0,5 tháng lương </t>
  </si>
  <si>
    <t>(Không tính 10.5% khấu trừ từ lương của NLĐ)</t>
  </si>
  <si>
    <t>BẢNG TỔNG HỢP LƯƠNG THƯỞNG CÁN BỘ NHÂN VIÊN
CÔNG TY CỔ PHẦN THIẾT KẾ VONE - THÁNG 07/ 2026</t>
  </si>
  <si>
    <t>MÃ NHÂN VIÊN</t>
  </si>
  <si>
    <t>NĂM SINH</t>
  </si>
  <si>
    <t>NGÀY VÀO CÔNG TY</t>
  </si>
  <si>
    <t>NGÀY KẾT THÚC HĐLĐ</t>
  </si>
  <si>
    <t>GIAI ĐOẠN NĂM 2025</t>
  </si>
  <si>
    <t>GIAI ĐOẠN NĂM 2026</t>
  </si>
  <si>
    <t>TỔNG LƯƠNG
(VNĐ)</t>
  </si>
  <si>
    <t>THƯỞNG SINH NHẬT (VNĐ)</t>
  </si>
  <si>
    <t>THƯỞNG DỰ ÁN (VNĐ)</t>
  </si>
  <si>
    <t>THƯỞNG TẾT TÂY
(VNĐ)</t>
  </si>
  <si>
    <t>THƯỞNG TẾT TA (VNĐ)</t>
  </si>
  <si>
    <t>TỔNG CỘNG
 (VNĐ)</t>
  </si>
  <si>
    <t>TỶ LỆ 
LƯƠNG/ THƯỞNG</t>
  </si>
  <si>
    <t>BHXH 
CÔNG TY 
CHI TRẢ</t>
  </si>
  <si>
    <t>KPCD
CÔNG TY
CHI TRẢ</t>
  </si>
  <si>
    <t>Đóng BHXH từ tháng 05/2026, tính đến hết 07/2026.
KPCD đóng từ tháng 05/2026, tính đến hết 07/2026.</t>
  </si>
  <si>
    <t>Đóng BHXH từ tháng 11/2025, tính đến hết 07/2026.
KPCD đóng từ tháng 05/2026, tính đến hết 07/2026.</t>
  </si>
  <si>
    <t>Đóng BHXH từ tháng 01/2026, tính đến hết 07/2026.
KPCD đóng từ tháng 05/2026, tính đến hết 07/2026.</t>
  </si>
  <si>
    <t>Đóng BHXH từ tháng 02/2026, tính đến hết 07/2026.
KPCD đóng từ tháng 05/2026, tính đến hết 07/2026.</t>
  </si>
  <si>
    <t>Tạ Nguyễn Sơn Tùng</t>
  </si>
  <si>
    <t>Đóng BHXH từ tháng 06/2026, tính đến hết 07/2026.
KPCD đóng từ tháng 05/2026, tính đến hết 07/2026.</t>
  </si>
  <si>
    <t>Đóng BHXH từ tháng 08/2026, tính đến hết 07/2026.
KPCD đóng từ tháng 05/2026, tính đến hết 07/2026.</t>
  </si>
  <si>
    <t>VONE09</t>
  </si>
  <si>
    <t>VONE12</t>
  </si>
  <si>
    <t>Đóng BHXH từ tháng 09/2026, tính đến hết 07/2026.
KPCD đóng từ tháng 05/2026, tính đến hết 07/2026.</t>
  </si>
  <si>
    <t>TỔNG CỘNG</t>
  </si>
  <si>
    <t>1 . Tổng BHXH công ty chi trả (cột T) đã cộng thêm 11.520.000đ BHXH của Đỗ Công Duy (nghỉ việc T4/2026.
2 . Nguyễn Thúy Vy và Vũ Minh Mẫn (đã nghỉ việc trong năm 2026) không phát sinh BHXH do toàn bộ thời gian làm việc là thử việc.</t>
  </si>
  <si>
    <t>CÔNG TY CỔ PHẦN THIẾT KẾ VONE</t>
  </si>
  <si>
    <t>BẢNG NGẠCH BẬC LƯƠNG</t>
  </si>
  <si>
    <t>LƯƠNG KHỞI ĐIỂM</t>
  </si>
  <si>
    <t>NGẠCH LƯƠNG 1_QUẢN LÝ CẤP CAO</t>
  </si>
  <si>
    <t>GIÁM ĐỐC ĐIỀU HÀNH</t>
  </si>
  <si>
    <t>HẠNG MỤC</t>
  </si>
  <si>
    <t>MÃ KHOÁN</t>
  </si>
  <si>
    <t>HỆ SỐ</t>
  </si>
  <si>
    <t>BƯỚC</t>
  </si>
  <si>
    <t>THAM SỐ</t>
  </si>
  <si>
    <t>BẬC 1</t>
  </si>
  <si>
    <t>BẬC 2</t>
  </si>
  <si>
    <t>BẬC 3</t>
  </si>
  <si>
    <t>BẬC 4</t>
  </si>
  <si>
    <t>BẬC 5</t>
  </si>
  <si>
    <t>BẬC 6</t>
  </si>
  <si>
    <t>BẬC 7</t>
  </si>
  <si>
    <t>Lương cơ bản</t>
  </si>
  <si>
    <t>LCB</t>
  </si>
  <si>
    <t>Hs*LKĐ*Bc</t>
  </si>
  <si>
    <t>Lương vị trí</t>
  </si>
  <si>
    <t>LVT</t>
  </si>
  <si>
    <t>Lương KPI</t>
  </si>
  <si>
    <t>LKPI</t>
  </si>
  <si>
    <t>Phụ cấp quản lý</t>
  </si>
  <si>
    <t>PCQL</t>
  </si>
  <si>
    <t>Phụ cấp trách nhiệm</t>
  </si>
  <si>
    <t>PCTN</t>
  </si>
  <si>
    <t>…</t>
  </si>
  <si>
    <t>Tổng lương &amp; phụ cấp</t>
  </si>
  <si>
    <t>Tham chiếu (nếu có)</t>
  </si>
  <si>
    <t>PHÓ GIÁM ĐỐC ĐIỀU HÀNH</t>
  </si>
  <si>
    <t>NGẠCH LƯƠNG 2_QUẢN LÝ CẤP TRUNG</t>
  </si>
  <si>
    <t>GIÁM ĐỐC THIẾT KẾ</t>
  </si>
  <si>
    <t>PHÓ GIÁM ĐỐC THIẾT KẾ</t>
  </si>
  <si>
    <t>NGẠCH LƯƠNG 3_QUẢN LÝ SƠ CẤP</t>
  </si>
  <si>
    <t xml:space="preserve">TRƯỞNG NHÓM </t>
  </si>
  <si>
    <t>BẬC 8</t>
  </si>
  <si>
    <t>BẬC 9</t>
  </si>
  <si>
    <t>CÁC CẤP ĐỘ TƯƠNG ỨNG BẬC LƯƠNG</t>
  </si>
  <si>
    <t>LEVEL 3</t>
  </si>
  <si>
    <t>LEVEL 2</t>
  </si>
  <si>
    <t>LEVEL 1</t>
  </si>
  <si>
    <t>NGẠCH LƯƠNG 4</t>
  </si>
  <si>
    <t>CHUYÊN VIÊN</t>
  </si>
  <si>
    <t>NGẠCH LƯƠNG 5</t>
  </si>
  <si>
    <t>NHÂN VIÊN</t>
  </si>
  <si>
    <t>TRONG QUÁ TRÌNH BỘ PHẦN HÀNH CHÍNH NHÂN SỰ TUYỂN DỤNG, ĐÁNH GIÁ TĂNG LƯƠNG, CẦN TUÂN THỦ CÁC QUY TẮC SAU :</t>
  </si>
  <si>
    <t>QUY TẮC 1</t>
  </si>
  <si>
    <t xml:space="preserve">TĂNG LƯƠNG THEO TỪNG BẬC TRONG NGẠCH LƯƠNG </t>
  </si>
  <si>
    <t>QUY TÁC 2</t>
  </si>
  <si>
    <t>TĂNG LƯƠNG NHỮNG VẪN PHẢI ĐẢM BẢO THỨ TỰ TIỀN LƯƠNG : NHÂN VIÊN &lt; CHUYÊN VIÊN &lt; QUẢN LÝ SƠ CẤP &lt; QUẢN LÝ CẤP TRUNG &lt; QUẢN LÝ CẤP CAO</t>
  </si>
  <si>
    <t>Từ 04/05/2026 mới chính thức về làm tại công ty.</t>
  </si>
  <si>
    <t>Giá trị thu 
thêm dự kiến</t>
  </si>
  <si>
    <t>Ghi chú</t>
  </si>
  <si>
    <t>2 license Autodesk (đã mua 1)</t>
  </si>
  <si>
    <t>11 license Windows 11</t>
  </si>
  <si>
    <t>2 license Office Home (mỗi license share được cho 5 người)</t>
  </si>
  <si>
    <t>Phát sinh tiền chi phí phần mềm (đã bao gồm trong chi phí Overhead văn phòng) :</t>
  </si>
  <si>
    <t>10 license Revit Student có thời hạn 1 năm</t>
  </si>
  <si>
    <t>Lợi nhuận dự án dự kiến</t>
  </si>
  <si>
    <t>Chi phí thưởng dự án (Trích từ lợi nhuận dự án dự kiến)</t>
  </si>
  <si>
    <t>CHÊNH LỆCH THU CHI TRONG THÁNG</t>
  </si>
  <si>
    <t xml:space="preserve">THƯỞNG </t>
  </si>
  <si>
    <t>E.1</t>
  </si>
  <si>
    <t>E.2</t>
  </si>
  <si>
    <t>Tết Tây - 01/ 01/ 2026</t>
  </si>
  <si>
    <t>Tết Ta - 02/ 2026</t>
  </si>
  <si>
    <t>Hoàn thành KHSXKD 6 tháng đầu năm 2026</t>
  </si>
  <si>
    <t>Nhân viên xuất sắc 2026</t>
  </si>
  <si>
    <t>Trưởng nhóm xuất sắc 2026</t>
  </si>
  <si>
    <t>Đỗ Công Duy</t>
  </si>
  <si>
    <t>Đóng BHXH từ tháng 01/2025 đến 05/2026.
Đã nghỉ việc đi định cư Australia.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</si>
</sst>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#,##0.0_);[Red]\(#,##0.0\)"/>
    <numFmt numFmtId="166" formatCode="0.0%"/>
    <numFmt numFmtId="167" formatCode="_(* #,##0.0_);_(* \(#,##0.0\);_(* &quot;-&quot;??_);_(@_)"/>
    <numFmt numFmtId="168" formatCode="[$-1010000]d/m/yyyy;@"/>
    <numFmt numFmtId="169" formatCode="_-* #,##0.00_-;\-* #,##0.00_-;_-* &quot;-&quot;??_-;_-@_-"/>
    <numFmt numFmtId="170" formatCode="_-* #,##0.00\ _₫_-;\-* #,##0.00\ _₫_-;_-* &quot;-&quot;??\ _₫_-;_-@_-"/>
    <numFmt numFmtId="171" formatCode="_-&quot;$&quot;* #,##0_-;\-&quot;$&quot;* #,##0_-;_-&quot;$&quot;* &quot;-&quot;_-;_-@_-"/>
    <numFmt numFmtId="172" formatCode="_(&quot;$&quot;\ * #,##0_);_(&quot;$&quot;\ * \(#,##0\);_(&quot;$&quot;\ * &quot;-&quot;_);_(@_)"/>
    <numFmt numFmtId="173" formatCode="&quot;\&quot;#,##0;[Red]&quot;\&quot;&quot;\&quot;\-#,##0"/>
    <numFmt numFmtId="174" formatCode="_(&quot;$&quot;* #,##0.0000_);_(&quot;$&quot;* \(#,##0.0000\);_(&quot;$&quot;* &quot;-&quot;??_);_(@_)"/>
    <numFmt numFmtId="175" formatCode="_ * #,##0_ ;_ * \-#,##0_ ;_ * &quot;-&quot;_ ;_ @_ "/>
    <numFmt numFmtId="176" formatCode="_-* #,##0_-;\-* #,##0_-;_-* &quot;-&quot;_-;_-@_-"/>
    <numFmt numFmtId="177" formatCode="_-* #,##0\ _F_-;\-* #,##0\ _F_-;_-* &quot;-&quot;\ _F_-;_-@_-"/>
    <numFmt numFmtId="178" formatCode="_-* #,##0\ &quot;$&quot;_-;_-* #,##0\ &quot;$&quot;\-;_-* &quot;-&quot;\ &quot;$&quot;_-;_-@_-"/>
    <numFmt numFmtId="179" formatCode="_-* #,##0\ &quot;F&quot;_-;\-* #,##0\ &quot;F&quot;_-;_-* &quot;-&quot;\ &quot;F&quot;_-;_-@_-"/>
    <numFmt numFmtId="180" formatCode="_-* #,##0\ &quot;$&quot;_-;\-* #,##0\ &quot;$&quot;_-;_-* &quot;-&quot;\ &quot;$&quot;_-;_-@_-"/>
    <numFmt numFmtId="181" formatCode="_-* #,##0&quot;$&quot;_-;_-* #,##0&quot;$&quot;\-;_-* &quot;-&quot;&quot;$&quot;_-;_-@_-"/>
    <numFmt numFmtId="182" formatCode="_-&quot;ñ&quot;* #,##0_-;\-&quot;ñ&quot;* #,##0_-;_-&quot;ñ&quot;* &quot;-&quot;_-;_-@_-"/>
    <numFmt numFmtId="183" formatCode="_ * #,##0.00_ ;_ * \-#,##0.00_ ;_ * &quot;-&quot;??_ ;_ @_ "/>
    <numFmt numFmtId="184" formatCode="_-* #,##0.00\ _V_N_D_-;\-* #,##0.00\ _V_N_D_-;_-* &quot;-&quot;??\ _V_N_D_-;_-@_-"/>
    <numFmt numFmtId="185" formatCode="_-* #,##0.00\ _F_-;\-* #,##0.00\ _F_-;_-* &quot;-&quot;??\ _F_-;_-@_-"/>
    <numFmt numFmtId="186" formatCode="_-* #,##0.00\ _V_N_Ñ_-;_-* #,##0.00\ _V_N_Ñ\-;_-* &quot;-&quot;??\ _V_N_Ñ_-;_-@_-"/>
    <numFmt numFmtId="187" formatCode="_-* #,##0.00_$_-;_-* #,##0.00_$\-;_-* &quot;-&quot;??_$_-;_-@_-"/>
    <numFmt numFmtId="188" formatCode="_-* #,##0.00\ _$_-;_-* #,##0.00\ _$\-;_-* &quot;-&quot;??\ _$_-;_-@_-"/>
    <numFmt numFmtId="189" formatCode="_-* #,##0.00\ _ñ_-;\-* #,##0.00\ _ñ_-;_-* &quot;-&quot;??\ _ñ_-;_-@_-"/>
    <numFmt numFmtId="190" formatCode="_-* #,##0\ &quot;ñ&quot;_-;\-* #,##0\ &quot;ñ&quot;_-;_-* &quot;-&quot;\ &quot;ñ&quot;_-;_-@_-"/>
    <numFmt numFmtId="191" formatCode="_-* #,##0\ _₫_-;\-* #,##0\ _₫_-;_-* &quot;-&quot;\ _₫_-;_-@_-"/>
    <numFmt numFmtId="192" formatCode="_-* #,##0\ _V_N_D_-;\-* #,##0\ _V_N_D_-;_-* &quot;-&quot;\ _V_N_D_-;_-@_-"/>
    <numFmt numFmtId="193" formatCode="_-* #,##0\ _V_N_Ñ_-;_-* #,##0\ _V_N_Ñ\-;_-* &quot;-&quot;\ _V_N_Ñ_-;_-@_-"/>
    <numFmt numFmtId="194" formatCode="_-* #,##0\ _$_-;\-* #,##0\ _$_-;_-* &quot;-&quot;\ _$_-;_-@_-"/>
    <numFmt numFmtId="195" formatCode="_-* #,##0_$_-;_-* #,##0_$\-;_-* &quot;-&quot;_$_-;_-@_-"/>
    <numFmt numFmtId="196" formatCode="_-* #,##0\ _$_-;_-* #,##0\ _$\-;_-* &quot;-&quot;\ _$_-;_-@_-"/>
    <numFmt numFmtId="197" formatCode="_-* #,##0\ _ñ_-;\-* #,##0\ _ñ_-;_-* &quot;-&quot;\ _ñ_-;_-@_-"/>
    <numFmt numFmtId="198" formatCode="_ &quot;\&quot;* #,##0_ ;_ &quot;\&quot;* \-#,##0_ ;_ &quot;\&quot;* &quot;-&quot;_ ;_ @_ "/>
    <numFmt numFmtId="199" formatCode="_(* #,##0.00_);_(* &quot;\&quot;&quot;\&quot;&quot;\&quot;\(#,##0.00&quot;\&quot;&quot;\&quot;&quot;\&quot;\);_(* &quot;-&quot;??_);_(@_)"/>
    <numFmt numFmtId="200" formatCode="_(* #,##0_);_(* &quot;\&quot;&quot;\&quot;&quot;\&quot;\(#,##0&quot;\&quot;&quot;\&quot;&quot;\&quot;\);_(* &quot;-&quot;_);_(@_)"/>
    <numFmt numFmtId="201" formatCode="&quot;\&quot;#,##0.00;[Red]&quot;\&quot;&quot;\&quot;\-#,##0.00"/>
    <numFmt numFmtId="202" formatCode="&quot;SFr.&quot;\ #,##0.00;[Red]&quot;SFr.&quot;\ \-#,##0.00"/>
    <numFmt numFmtId="203" formatCode="&quot;SFr.&quot;\ #,##0.00;&quot;SFr.&quot;\ \-#,##0.00"/>
    <numFmt numFmtId="204" formatCode="_ &quot;SFr.&quot;\ * #,##0_ ;_ &quot;SFr.&quot;\ * \-#,##0_ ;_ &quot;SFr.&quot;\ * &quot;-&quot;_ ;_ @_ "/>
    <numFmt numFmtId="205" formatCode="ddd\ mmm\ d"/>
    <numFmt numFmtId="206" formatCode="_ &quot;\&quot;* ###,0&quot;.&quot;00_ ;_ &quot;\&quot;* &quot;\&quot;&quot;\&quot;&quot;\&quot;&quot;\&quot;&quot;\&quot;&quot;\&quot;&quot;\&quot;&quot;\&quot;&quot;\&quot;&quot;\&quot;&quot;\&quot;&quot;\&quot;\-###,0&quot;.&quot;00_ ;_ &quot;\&quot;* &quot;-&quot;??_ ;_ @_ "/>
    <numFmt numFmtId="207" formatCode="_ * ###,0&quot;.&quot;00_ ;_ * &quot;\&quot;&quot;\&quot;&quot;\&quot;&quot;\&quot;&quot;\&quot;&quot;\&quot;&quot;\&quot;&quot;\&quot;&quot;\&quot;&quot;\&quot;&quot;\&quot;&quot;\&quot;\-###,0&quot;.&quot;00_ ;_ * &quot;-&quot;??_ ;_ @_ "/>
    <numFmt numFmtId="208" formatCode="&quot;\&quot;#,##0;&quot;\&quot;&quot;\&quot;&quot;\&quot;&quot;\&quot;&quot;\&quot;&quot;\&quot;&quot;\&quot;&quot;\&quot;&quot;\&quot;&quot;\&quot;&quot;\&quot;&quot;\&quot;&quot;\&quot;&quot;\&quot;\-#,##0"/>
    <numFmt numFmtId="209" formatCode="&quot;\&quot;#,##0;[Red]&quot;\&quot;&quot;\&quot;&quot;\&quot;&quot;\&quot;&quot;\&quot;&quot;\&quot;&quot;\&quot;&quot;\&quot;&quot;\&quot;&quot;\&quot;&quot;\&quot;&quot;\&quot;&quot;\&quot;&quot;\&quot;\-#,##0"/>
    <numFmt numFmtId="210" formatCode="_ * #,##0_ ;_ * &quot;\&quot;&quot;\&quot;&quot;\&quot;&quot;\&quot;&quot;\&quot;&quot;\&quot;&quot;\&quot;&quot;\&quot;&quot;\&quot;&quot;\&quot;&quot;\&quot;&quot;\&quot;\-#,##0_ ;_ * &quot;-&quot;_ ;_ @_ "/>
    <numFmt numFmtId="211" formatCode="&quot;\&quot;###,0&quot;.&quot;00;&quot;\&quot;&quot;\&quot;&quot;\&quot;&quot;\&quot;&quot;\&quot;&quot;\&quot;&quot;\&quot;&quot;\&quot;&quot;\&quot;&quot;\&quot;&quot;\&quot;&quot;\&quot;&quot;\&quot;&quot;\&quot;\-###,0&quot;.&quot;00"/>
    <numFmt numFmtId="212" formatCode="_-* #,##0.00\ &quot;F&quot;_-;\-* #,##0.00\ &quot;F&quot;_-;_-* &quot;-&quot;??\ &quot;F&quot;_-;_-@_-"/>
    <numFmt numFmtId="213" formatCode="#,##0.00_);\-#,##0.00_)"/>
    <numFmt numFmtId="214" formatCode="&quot;£&quot;#,##0.00;\-&quot;£&quot;#,##0.00"/>
    <numFmt numFmtId="215" formatCode="#,##0.00\ &quot;F&quot;;[Red]\-#,##0.00\ &quot;F&quot;"/>
    <numFmt numFmtId="216" formatCode="\$#,##0\ ;\(\$#,##0\)"/>
    <numFmt numFmtId="217" formatCode="0.0000%"/>
    <numFmt numFmtId="218" formatCode="_ * #,##0_)_$_ ;_ * \(#,##0\)_$_ ;_ * &quot;-&quot;_)_$_ ;_ @_ "/>
    <numFmt numFmtId="219" formatCode="#,##0;[Red]#,##0"/>
    <numFmt numFmtId="220" formatCode="_-* #,##0\ _?_-;\-* #,##0\ _?_-;_-* &quot;-&quot;\ _?_-;_-@_-"/>
    <numFmt numFmtId="221" formatCode="_-* #,##0.00\ _?_-;\-* #,##0.00\ _?_-;_-* &quot;-&quot;??\ _?_-;_-@_-"/>
    <numFmt numFmtId="222" formatCode="_-&quot;VND&quot;* #,##0_-;\-&quot;VND&quot;* #,##0_-;_-&quot;VND&quot;* &quot;-&quot;_-;_-@_-"/>
    <numFmt numFmtId="223" formatCode="_(&quot;Rp&quot;* #,##0.00_);_(&quot;Rp&quot;* \(#,##0.00\);_(&quot;Rp&quot;* &quot;-&quot;??_);_(@_)"/>
    <numFmt numFmtId="224" formatCode="#,##0.00\ &quot;FB&quot;;[Red]\-#,##0.00\ &quot;FB&quot;"/>
    <numFmt numFmtId="225" formatCode="#,##0\ &quot;$&quot;;\-#,##0\ &quot;$&quot;"/>
    <numFmt numFmtId="226" formatCode="&quot;$&quot;#,##0;\-&quot;$&quot;#,##0"/>
    <numFmt numFmtId="227" formatCode="_-* #,##0\ _F_B_-;\-* #,##0\ _F_B_-;_-* &quot;-&quot;\ _F_B_-;_-@_-"/>
    <numFmt numFmtId="228" formatCode="#,##0_);\-#,##0_)"/>
    <numFmt numFmtId="229" formatCode="_(* #,##0.000000_);_(* \(#,##0.000000\);_(* &quot;-&quot;??_);_(@_)"/>
    <numFmt numFmtId="230" formatCode="#,##0\ &quot;$&quot;_);\(#,##0\ &quot;$&quot;\)"/>
    <numFmt numFmtId="231" formatCode="_ * #,##0.00_)&quot;$&quot;_ ;_ * \(#,##0.00\)&quot;$&quot;_ ;_ * &quot;-&quot;??_)&quot;$&quot;_ ;_ @_ "/>
    <numFmt numFmtId="232" formatCode="ddd\ dd\ mmm"/>
    <numFmt numFmtId="233" formatCode="_ * #,##0.00_)_$_ ;_ * \(#,##0.00\)_$_ ;_ * &quot;-&quot;??_)_$_ ;_ @_ "/>
    <numFmt numFmtId="234" formatCode="#,##0\ &quot;$&quot;_);[Red]\(#,##0\ &quot;$&quot;\)"/>
    <numFmt numFmtId="235" formatCode="&quot;$&quot;###,0&quot;.&quot;00_);[Red]\(&quot;$&quot;###,0&quot;.&quot;00\)"/>
    <numFmt numFmtId="236" formatCode="0.000%"/>
    <numFmt numFmtId="237" formatCode="_ &quot;\&quot;* #,##0_ ;_ &quot;\&quot;* &quot;\&quot;&quot;\&quot;&quot;\&quot;&quot;\&quot;&quot;\&quot;&quot;\&quot;&quot;\&quot;&quot;\&quot;&quot;\&quot;&quot;\&quot;&quot;\&quot;&quot;\&quot;&quot;\&quot;&quot;\&quot;\-#,##0_ ;_ &quot;\&quot;* &quot;-&quot;_ ;_ @_ "/>
    <numFmt numFmtId="238" formatCode="d"/>
    <numFmt numFmtId="239" formatCode="&quot;$&quot;#,##0;[Red]\-&quot;$&quot;#,##0"/>
    <numFmt numFmtId="240" formatCode="_-&quot;£&quot;* #,##0_-;\-&quot;£&quot;* #,##0_-;_-&quot;£&quot;* &quot;-&quot;_-;_-@_-"/>
    <numFmt numFmtId="241" formatCode="#,##0.00\ \ "/>
    <numFmt numFmtId="242" formatCode="0.00000"/>
    <numFmt numFmtId="243" formatCode="_ * #,##0_ ;_ * \-#,##0_ ;_ * &quot;-&quot;??_ ;_ @_ "/>
    <numFmt numFmtId="244" formatCode="&quot;\&quot;###,0&quot;.&quot;00;[Red]&quot;\&quot;&quot;\&quot;&quot;\&quot;&quot;\&quot;&quot;\&quot;&quot;\&quot;&quot;\&quot;&quot;\&quot;&quot;\&quot;&quot;\&quot;&quot;\&quot;&quot;\&quot;&quot;\&quot;&quot;\&quot;\-###,0&quot;.&quot;00"/>
    <numFmt numFmtId="245" formatCode="_ &quot;\&quot;* #,##0_ ;_ &quot;\&quot;* &quot;\&quot;&quot;\&quot;&quot;\&quot;&quot;\&quot;&quot;\&quot;&quot;\&quot;&quot;\&quot;&quot;\&quot;&quot;\&quot;&quot;\&quot;&quot;\&quot;&quot;\&quot;&quot;\&quot;\-#,##0_ ;_ &quot;\&quot;* &quot;-&quot;_ ;_ @_ "/>
    <numFmt numFmtId="246" formatCode="_-* ###,0&quot;.&quot;00_-;\-* ###,0&quot;.&quot;00_-;_-* &quot;-&quot;??_-;_-@_-"/>
    <numFmt numFmtId="247" formatCode="_-&quot;$&quot;* ###,0&quot;.&quot;00_-;\-&quot;$&quot;* ###,0&quot;.&quot;00_-;_-&quot;$&quot;* &quot;-&quot;??_-;_-@_-"/>
    <numFmt numFmtId="248" formatCode="#,##0\ &quot;F&quot;;[Red]\-#,##0\ &quot;F&quot;"/>
    <numFmt numFmtId="249" formatCode="#,##0.00\ &quot;F&quot;;\-#,##0.00\ &quot;F&quot;"/>
    <numFmt numFmtId="250" formatCode="_ * #,##0_)&quot;$&quot;_ ;_ * \(#,##0\)&quot;$&quot;_ ;_ * &quot;-&quot;_)&quot;$&quot;_ ;_ @_ "/>
    <numFmt numFmtId="251" formatCode="&quot;\&quot;#,##0;&quot;\&quot;&quot;\&quot;&quot;\&quot;&quot;\&quot;&quot;\&quot;&quot;\&quot;&quot;\&quot;\-#,##0"/>
    <numFmt numFmtId="252" formatCode="_-&quot;$&quot;* #,##0.00_-;\-&quot;$&quot;* #,##0.00_-;_-&quot;$&quot;* &quot;-&quot;??_-;_-@_-"/>
    <numFmt numFmtId="253" formatCode="_-* #,##0_-;&quot;\&quot;\!\-* #,##0_-;_-* &quot;-&quot;_-;_-@_-"/>
    <numFmt numFmtId="254" formatCode="_-* #,##0.00\ _k_r_._-;\-* #,##0.00\ _k_r_._-;_-* &quot;-&quot;??\ _k_r_._-;_-@_-"/>
    <numFmt numFmtId="255" formatCode="_ &quot;\&quot;* #,##0.00_ ;_ &quot;\&quot;* \-#,##0.00_ ;_ &quot;\&quot;* &quot;-&quot;??_ ;_ @_ "/>
    <numFmt numFmtId="256" formatCode="#,##0.00_);\(#,##0.00\);\-_);@"/>
    <numFmt numFmtId="257" formatCode="#,##0_);\(#,##0\);\-_)"/>
    <numFmt numFmtId="258" formatCode="#,##0.00_);\(#,##0.00\);\-_)"/>
    <numFmt numFmtId="259" formatCode="#,##0.00_);\-#,##0.00_);\-_)"/>
    <numFmt numFmtId="260" formatCode="#,##0.00&quot;  &quot;"/>
    <numFmt numFmtId="261" formatCode="[$-409]General"/>
    <numFmt numFmtId="262" formatCode="_(\$* #,##0.0000_);_(\$* \(#,##0.0000\);_(\$* \-??_);_(@_)"/>
  </numFmts>
  <fonts count="192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name val="VNI-Times"/>
    </font>
    <font>
      <u/>
      <sz val="11"/>
      <color theme="10"/>
      <name val="Calibri"/>
      <family val="2"/>
      <scheme val="minor"/>
    </font>
    <font>
      <sz val="10"/>
      <name val="Arial"/>
      <family val="2"/>
      <charset val="163"/>
    </font>
    <font>
      <sz val="10"/>
      <name val="Arial"/>
      <family val="2"/>
    </font>
    <font>
      <sz val="12"/>
      <name val="Times New Roman"/>
      <family val="1"/>
    </font>
    <font>
      <sz val="11"/>
      <color indexed="8"/>
      <name val="Calibri"/>
      <family val="2"/>
    </font>
    <font>
      <sz val="8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name val="Helv"/>
      <family val="2"/>
    </font>
    <font>
      <sz val="12"/>
      <name val="|??´¸ⓒ"/>
      <family val="1"/>
      <charset val="129"/>
    </font>
    <font>
      <b/>
      <sz val="10"/>
      <name val="Helv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1"/>
      <name val="Helv"/>
      <family val="2"/>
    </font>
    <font>
      <sz val="10"/>
      <name val="Courier"/>
      <family val="3"/>
    </font>
    <font>
      <sz val="12"/>
      <name val="바탕체"/>
      <family val="1"/>
      <charset val="129"/>
    </font>
    <font>
      <sz val="8"/>
      <name val="VNI-Helve"/>
    </font>
    <font>
      <b/>
      <sz val="12"/>
      <name val=".VnTime"/>
      <family val="2"/>
    </font>
    <font>
      <b/>
      <sz val="10"/>
      <name val=".VnTime"/>
      <family val="2"/>
    </font>
    <font>
      <sz val="10"/>
      <name val=".VnTime"/>
      <family val="2"/>
    </font>
    <font>
      <sz val="9"/>
      <name val=".VnTime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0"/>
      <name val="VNI-Times"/>
    </font>
    <font>
      <sz val="10"/>
      <name val="Times New Roman"/>
      <family val="1"/>
    </font>
    <font>
      <b/>
      <sz val="11"/>
      <name val="Times New Roman"/>
      <family val="1"/>
    </font>
    <font>
      <sz val="12"/>
      <name val="VNI-Times"/>
    </font>
    <font>
      <sz val="12"/>
      <name val="Arial"/>
      <family val="2"/>
    </font>
    <font>
      <sz val="11"/>
      <color indexed="8"/>
      <name val="Arial"/>
      <family val="2"/>
    </font>
    <font>
      <sz val="12"/>
      <name val=".VnTime"/>
      <family val="2"/>
    </font>
    <font>
      <sz val="9"/>
      <name val="Arial"/>
      <family val="2"/>
    </font>
    <font>
      <sz val="10"/>
      <name val="VNI-Helve"/>
    </font>
    <font>
      <sz val="10"/>
      <name val=".VnArial"/>
      <family val="2"/>
    </font>
    <font>
      <sz val="10"/>
      <name val="?? ??"/>
      <family val="1"/>
      <charset val="136"/>
    </font>
    <font>
      <sz val="12"/>
      <name val="바탕체"/>
      <family val="1"/>
    </font>
    <font>
      <sz val="12"/>
      <name val="????"/>
      <family val="1"/>
      <charset val="136"/>
    </font>
    <font>
      <sz val="12"/>
      <name val="Courier"/>
      <family val="3"/>
    </font>
    <font>
      <sz val="12"/>
      <name val="???"/>
      <family val="1"/>
      <charset val="129"/>
    </font>
    <font>
      <sz val="12"/>
      <name val="|??¢¥¢¬¨Ï"/>
      <family val="1"/>
      <charset val="129"/>
    </font>
    <font>
      <u/>
      <sz val="11"/>
      <color indexed="36"/>
      <name val="lr oSVbN"/>
      <family val="3"/>
    </font>
    <font>
      <sz val="10"/>
      <name val="MS Sans Serif"/>
      <family val="2"/>
    </font>
    <font>
      <sz val="12"/>
      <name val="???"/>
      <family val="2"/>
    </font>
    <font>
      <sz val="11"/>
      <name val="–¾’©"/>
      <family val="1"/>
      <charset val="128"/>
    </font>
    <font>
      <b/>
      <u/>
      <sz val="14"/>
      <color indexed="8"/>
      <name val=".VnBook-AntiquaH"/>
      <family val="2"/>
    </font>
    <font>
      <sz val="12"/>
      <color indexed="8"/>
      <name val="¹ÙÅÁÃ¼"/>
      <family val="1"/>
      <charset val="129"/>
    </font>
    <font>
      <i/>
      <sz val="12"/>
      <color indexed="8"/>
      <name val=".VnBook-AntiquaH"/>
      <family val="2"/>
    </font>
    <font>
      <sz val="12"/>
      <color indexed="8"/>
      <name val="新細明體"/>
      <family val="1"/>
      <charset val="136"/>
    </font>
    <font>
      <b/>
      <sz val="12"/>
      <color indexed="8"/>
      <name val=".VnBook-Antiqua"/>
      <family val="2"/>
    </font>
    <font>
      <i/>
      <sz val="12"/>
      <color indexed="8"/>
      <name val=".VnBook-Antiqua"/>
      <family val="2"/>
    </font>
    <font>
      <sz val="12"/>
      <color indexed="9"/>
      <name val="新細明體"/>
      <family val="1"/>
      <charset val="136"/>
    </font>
    <font>
      <sz val="12"/>
      <name val="¹UAAA¼"/>
      <family val="3"/>
      <charset val="129"/>
    </font>
    <font>
      <sz val="10"/>
      <name val="Geneva"/>
      <family val="2"/>
    </font>
    <font>
      <sz val="8"/>
      <name val="Times New Roman"/>
      <family val="1"/>
    </font>
    <font>
      <sz val="12"/>
      <name val="¹ÙÅÁÃ¼"/>
      <family val="2"/>
      <charset val="129"/>
    </font>
    <font>
      <sz val="12"/>
      <name val="¹ÙÅÁÃ¼"/>
      <charset val="129"/>
    </font>
    <font>
      <sz val="12"/>
      <name val="Tms Rmn"/>
    </font>
    <font>
      <sz val="11"/>
      <name val="µ¸¿ò"/>
      <charset val="129"/>
    </font>
    <font>
      <sz val="10"/>
      <name val="VNI-Aptima"/>
    </font>
    <font>
      <sz val="12"/>
      <color indexed="8"/>
      <name val="VNI-Helve-Condense"/>
    </font>
    <font>
      <sz val="10"/>
      <name val="MS Serif"/>
      <family val="1"/>
    </font>
    <font>
      <sz val="12"/>
      <name val="???"/>
    </font>
    <font>
      <sz val="10"/>
      <color indexed="8"/>
      <name val="Arial"/>
      <family val="2"/>
    </font>
    <font>
      <sz val="1"/>
      <color indexed="8"/>
      <name val="Courier"/>
      <family val="3"/>
    </font>
    <font>
      <sz val="10"/>
      <color indexed="8"/>
      <name val="MS Sans Serif"/>
      <family val="2"/>
    </font>
    <font>
      <sz val="10"/>
      <name val="Arial CE"/>
      <family val="2"/>
      <charset val="238"/>
    </font>
    <font>
      <sz val="10"/>
      <color indexed="16"/>
      <name val="MS Serif"/>
      <family val="1"/>
    </font>
    <font>
      <sz val="10"/>
      <name val="VNI-Helve-Condense"/>
    </font>
    <font>
      <sz val="11"/>
      <name val="lr oSVbN"/>
      <family val="3"/>
    </font>
    <font>
      <b/>
      <sz val="12"/>
      <name val=".VnBook-AntiquaH"/>
      <family val="2"/>
    </font>
    <font>
      <sz val="12"/>
      <name val="±¼¸²Ã¼"/>
      <family val="3"/>
      <charset val="129"/>
    </font>
    <font>
      <u/>
      <sz val="11"/>
      <color indexed="12"/>
      <name val="lr oSVbN"/>
      <family val="3"/>
    </font>
    <font>
      <sz val="7"/>
      <name val="Small Fonts"/>
      <family val="2"/>
    </font>
    <font>
      <b/>
      <sz val="12"/>
      <name val="VN-NTime"/>
    </font>
    <font>
      <sz val="10"/>
      <name val="Tms Rmn"/>
    </font>
    <font>
      <sz val="11"/>
      <name val="VNI-Aptima"/>
    </font>
    <font>
      <sz val="10"/>
      <name val="Tms Rmn"/>
      <family val="1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i/>
      <sz val="12"/>
      <color indexed="8"/>
      <name val="Arial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u/>
      <sz val="12"/>
      <color indexed="12"/>
      <name val="VNI-Times"/>
    </font>
    <font>
      <sz val="10"/>
      <name val="VNbook-Antiqua"/>
      <family val="2"/>
    </font>
    <font>
      <b/>
      <sz val="8"/>
      <color indexed="8"/>
      <name val="Helv"/>
      <family val="2"/>
    </font>
    <font>
      <sz val="10"/>
      <name val="Symbol"/>
      <family val="1"/>
      <charset val="2"/>
    </font>
    <font>
      <sz val="13"/>
      <name val=".VnTime"/>
      <family val="2"/>
    </font>
    <font>
      <sz val="13"/>
      <name val=".VnArial"/>
      <family val="2"/>
    </font>
    <font>
      <sz val="10"/>
      <name val="VNI-Centur"/>
      <family val="2"/>
    </font>
    <font>
      <sz val="10"/>
      <name val=".VnArial Narrow"/>
      <family val="2"/>
    </font>
    <font>
      <sz val="10"/>
      <name val="VNtimes new roman"/>
      <family val="2"/>
    </font>
    <font>
      <sz val="11"/>
      <name val="?? ?????"/>
      <family val="3"/>
    </font>
    <font>
      <sz val="14"/>
      <name val=".VnArial"/>
      <family val="2"/>
    </font>
    <font>
      <sz val="16"/>
      <name val="AngsanaUPC"/>
      <family val="3"/>
    </font>
    <font>
      <sz val="12"/>
      <name val="바탕체"/>
      <family val="3"/>
    </font>
    <font>
      <sz val="11"/>
      <name val="돋움"/>
      <family val="3"/>
      <charset val="129"/>
    </font>
    <font>
      <sz val="12"/>
      <color indexed="60"/>
      <name val="新細明體"/>
      <family val="1"/>
      <charset val="136"/>
    </font>
    <font>
      <sz val="12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0"/>
      <name val="돋움체"/>
      <family val="3"/>
      <charset val="129"/>
    </font>
    <font>
      <sz val="12"/>
      <color indexed="17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1"/>
      <name val="ＭＳ Ｐゴシック"/>
      <family val="2"/>
      <charset val="128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u/>
      <sz val="11"/>
      <color indexed="12"/>
      <name val=".VnTime"/>
      <family val="2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u/>
      <sz val="11"/>
      <color indexed="36"/>
      <name val=".VnTime"/>
      <family val="2"/>
    </font>
    <font>
      <sz val="10"/>
      <name val=" "/>
      <family val="1"/>
      <charset val="136"/>
    </font>
    <font>
      <sz val="9"/>
      <color indexed="8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3"/>
      <name val="Times New Roman"/>
      <family val="1"/>
    </font>
    <font>
      <sz val="16"/>
      <name val="Arial"/>
      <family val="2"/>
    </font>
    <font>
      <i/>
      <sz val="10.5"/>
      <name val="Times New Roman"/>
      <family val="1"/>
    </font>
    <font>
      <b/>
      <sz val="10.5"/>
      <name val="Calibri"/>
      <family val="2"/>
    </font>
    <font>
      <b/>
      <sz val="14"/>
      <color theme="0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b/>
      <u/>
      <sz val="12"/>
      <color rgb="FF0070C0"/>
      <name val="Arial"/>
      <family val="2"/>
    </font>
    <font>
      <u/>
      <sz val="10"/>
      <color theme="1"/>
      <name val="Arial"/>
      <family val="2"/>
    </font>
    <font>
      <sz val="11"/>
      <color theme="1"/>
      <name val="Calibri"/>
      <family val="2"/>
    </font>
    <font>
      <u/>
      <sz val="7"/>
      <color indexed="12"/>
      <name val="Times New Roman"/>
      <family val="1"/>
    </font>
    <font>
      <sz val="10"/>
      <name val="Du toan Intelligent 1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b/>
      <sz val="14"/>
      <color theme="1"/>
      <name val="Segoe UI"/>
      <family val="2"/>
    </font>
    <font>
      <sz val="14"/>
      <color theme="1"/>
      <name val="Segoe UI"/>
      <family val="2"/>
    </font>
    <font>
      <sz val="11"/>
      <color theme="1"/>
      <name val="Calibri"/>
      <family val="2"/>
      <charset val="1"/>
    </font>
    <font>
      <b/>
      <sz val="12"/>
      <name val="Segoe UI"/>
      <family val="2"/>
    </font>
    <font>
      <b/>
      <sz val="24"/>
      <name val="Segoe UI"/>
      <family val="2"/>
    </font>
    <font>
      <b/>
      <sz val="18"/>
      <name val="Segoe UI"/>
      <family val="2"/>
    </font>
    <font>
      <sz val="12"/>
      <name val="Segoe UI"/>
      <family val="2"/>
    </font>
    <font>
      <b/>
      <sz val="20"/>
      <color theme="1"/>
      <name val="Segoe UI"/>
      <family val="2"/>
    </font>
    <font>
      <sz val="11"/>
      <color theme="1"/>
      <name val="Segoe UI"/>
      <family val="2"/>
    </font>
    <font>
      <b/>
      <sz val="16"/>
      <color theme="1"/>
      <name val="Segoe UI"/>
      <family val="2"/>
    </font>
    <font>
      <i/>
      <sz val="11"/>
      <color theme="1"/>
      <name val="Segoe UI"/>
      <family val="2"/>
    </font>
    <font>
      <b/>
      <sz val="11"/>
      <color theme="1"/>
      <name val="Segoe UI"/>
      <family val="2"/>
    </font>
    <font>
      <sz val="11"/>
      <name val="Segoe UI"/>
      <family val="2"/>
    </font>
    <font>
      <sz val="10"/>
      <color theme="1"/>
      <name val="Segoe UI"/>
      <family val="2"/>
    </font>
    <font>
      <i/>
      <sz val="10"/>
      <color theme="1"/>
      <name val="Segoe UI"/>
      <family val="2"/>
    </font>
    <font>
      <i/>
      <sz val="11"/>
      <name val="Segoe UI"/>
      <family val="2"/>
    </font>
    <font>
      <i/>
      <sz val="12"/>
      <name val="Segoe UI"/>
      <family val="2"/>
    </font>
    <font>
      <b/>
      <sz val="14"/>
      <name val="Segoe UI"/>
      <family val="2"/>
    </font>
    <font>
      <sz val="14"/>
      <name val="Segoe UI"/>
      <family val="2"/>
    </font>
    <font>
      <i/>
      <sz val="12"/>
      <color theme="1"/>
      <name val="Segoe UI"/>
      <family val="2"/>
    </font>
    <font>
      <sz val="24"/>
      <color theme="1"/>
      <name val="Segoe UI"/>
      <family val="2"/>
    </font>
    <font>
      <b/>
      <sz val="20"/>
      <name val="Segoe UI"/>
      <family val="2"/>
    </font>
    <font>
      <sz val="20"/>
      <color theme="1"/>
      <name val="Segoe UI"/>
      <family val="2"/>
    </font>
    <font>
      <b/>
      <sz val="16"/>
      <name val="Segoe UI"/>
      <family val="2"/>
    </font>
    <font>
      <sz val="16"/>
      <color theme="1"/>
      <name val="Segoe UI"/>
      <family val="2"/>
    </font>
    <font>
      <sz val="16"/>
      <name val="Segoe UI"/>
      <family val="2"/>
    </font>
    <font>
      <b/>
      <sz val="12"/>
      <color rgb="FFFF0000"/>
      <name val="Segoe UI"/>
      <family val="2"/>
    </font>
    <font>
      <sz val="10"/>
      <name val="Segoe UI"/>
      <family val="2"/>
    </font>
    <font>
      <b/>
      <sz val="11"/>
      <name val="Segoe UI"/>
      <family val="2"/>
    </font>
    <font>
      <b/>
      <sz val="11"/>
      <color rgb="FFFF0000"/>
      <name val="Segoe UI"/>
      <family val="2"/>
    </font>
    <font>
      <b/>
      <i/>
      <sz val="11"/>
      <color theme="1"/>
      <name val="Segoe UI"/>
      <family val="2"/>
    </font>
    <font>
      <b/>
      <sz val="12"/>
      <color theme="5" tint="-0.499984740745262"/>
      <name val="Segoe UI"/>
      <family val="2"/>
    </font>
    <font>
      <b/>
      <i/>
      <sz val="11"/>
      <name val="Segoe UI"/>
      <family val="2"/>
    </font>
    <font>
      <b/>
      <sz val="14"/>
      <color rgb="FFFF0000"/>
      <name val="Segoe UI"/>
      <family val="2"/>
    </font>
    <font>
      <b/>
      <sz val="11"/>
      <color theme="4"/>
      <name val="Segoe UI"/>
      <family val="2"/>
    </font>
    <font>
      <sz val="11"/>
      <color theme="4"/>
      <name val="Segoe UI"/>
      <family val="2"/>
    </font>
    <font>
      <sz val="12"/>
      <color rgb="FFFF0000"/>
      <name val="Segoe UI"/>
      <family val="2"/>
    </font>
    <font>
      <b/>
      <sz val="14"/>
      <color theme="4"/>
      <name val="Segoe UI"/>
      <family val="2"/>
    </font>
    <font>
      <b/>
      <sz val="14"/>
      <color theme="9" tint="-0.499984740745262"/>
      <name val="Segoe UI"/>
      <family val="2"/>
    </font>
  </fonts>
  <fills count="5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  <bgColor indexed="6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gray125">
        <fgColor indexed="35"/>
      </patternFill>
    </fill>
    <fill>
      <patternFill patternType="solid">
        <fgColor theme="1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9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395">
    <xf numFmtId="0" fontId="0" fillId="0" borderId="0"/>
    <xf numFmtId="43" fontId="2" fillId="0" borderId="0"/>
    <xf numFmtId="9" fontId="2" fillId="0" borderId="0"/>
    <xf numFmtId="0" fontId="3" fillId="0" borderId="0"/>
    <xf numFmtId="0" fontId="1" fillId="0" borderId="0"/>
    <xf numFmtId="0" fontId="4" fillId="0" borderId="0"/>
    <xf numFmtId="0" fontId="5" fillId="0" borderId="0"/>
    <xf numFmtId="0" fontId="6" fillId="0" borderId="0"/>
    <xf numFmtId="0" fontId="2" fillId="0" borderId="0"/>
    <xf numFmtId="169" fontId="1" fillId="0" borderId="0"/>
    <xf numFmtId="9" fontId="1" fillId="0" borderId="0"/>
    <xf numFmtId="0" fontId="2" fillId="0" borderId="0"/>
    <xf numFmtId="170" fontId="2" fillId="0" borderId="0"/>
    <xf numFmtId="9" fontId="2" fillId="0" borderId="0"/>
    <xf numFmtId="0" fontId="2" fillId="0" borderId="0"/>
    <xf numFmtId="9" fontId="2" fillId="0" borderId="0"/>
    <xf numFmtId="170" fontId="2" fillId="0" borderId="0"/>
    <xf numFmtId="0" fontId="2" fillId="0" borderId="0"/>
    <xf numFmtId="170" fontId="2" fillId="0" borderId="0"/>
    <xf numFmtId="9" fontId="2" fillId="0" borderId="0"/>
    <xf numFmtId="170" fontId="2" fillId="0" borderId="0"/>
    <xf numFmtId="9" fontId="2" fillId="0" borderId="0"/>
    <xf numFmtId="0" fontId="2" fillId="0" borderId="0"/>
    <xf numFmtId="9" fontId="2" fillId="0" borderId="0"/>
    <xf numFmtId="170" fontId="2" fillId="0" borderId="0"/>
    <xf numFmtId="0" fontId="2" fillId="0" borderId="0"/>
    <xf numFmtId="170" fontId="2" fillId="0" borderId="0"/>
    <xf numFmtId="170" fontId="2" fillId="0" borderId="0"/>
    <xf numFmtId="170" fontId="2" fillId="0" borderId="0"/>
    <xf numFmtId="0" fontId="1" fillId="0" borderId="0"/>
    <xf numFmtId="0" fontId="2" fillId="0" borderId="0"/>
    <xf numFmtId="169" fontId="1" fillId="0" borderId="0"/>
    <xf numFmtId="9" fontId="1" fillId="0" borderId="0"/>
    <xf numFmtId="170" fontId="2" fillId="0" borderId="0"/>
    <xf numFmtId="170" fontId="2" fillId="0" borderId="0"/>
    <xf numFmtId="0" fontId="6" fillId="0" borderId="0"/>
    <xf numFmtId="170" fontId="6" fillId="0" borderId="0"/>
    <xf numFmtId="0" fontId="6" fillId="0" borderId="0"/>
    <xf numFmtId="170" fontId="3" fillId="0" borderId="0"/>
    <xf numFmtId="9" fontId="6" fillId="0" borderId="0"/>
    <xf numFmtId="170" fontId="6" fillId="0" borderId="0"/>
    <xf numFmtId="170" fontId="3" fillId="0" borderId="0"/>
    <xf numFmtId="0" fontId="2" fillId="0" borderId="0"/>
    <xf numFmtId="170" fontId="2" fillId="0" borderId="0"/>
    <xf numFmtId="0" fontId="2" fillId="0" borderId="0"/>
    <xf numFmtId="170" fontId="2" fillId="0" borderId="0"/>
    <xf numFmtId="0" fontId="6" fillId="0" borderId="0"/>
    <xf numFmtId="171" fontId="42" fillId="0" borderId="0"/>
    <xf numFmtId="172" fontId="48" fillId="0" borderId="0"/>
    <xf numFmtId="0" fontId="49" fillId="0" borderId="0"/>
    <xf numFmtId="173" fontId="6" fillId="0" borderId="0"/>
    <xf numFmtId="0" fontId="5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4" fontId="39" fillId="0" borderId="0"/>
    <xf numFmtId="175" fontId="48" fillId="0" borderId="0"/>
    <xf numFmtId="176" fontId="51" fillId="0" borderId="0"/>
    <xf numFmtId="169" fontId="51" fillId="0" borderId="0"/>
    <xf numFmtId="6" fontId="52" fillId="0" borderId="0"/>
    <xf numFmtId="0" fontId="53" fillId="0" borderId="0"/>
    <xf numFmtId="0" fontId="6" fillId="0" borderId="0"/>
    <xf numFmtId="0" fontId="6" fillId="0" borderId="0"/>
    <xf numFmtId="0" fontId="54" fillId="0" borderId="0"/>
    <xf numFmtId="0" fontId="2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6" fontId="45" fillId="0" borderId="0"/>
    <xf numFmtId="0" fontId="56" fillId="0" borderId="0"/>
    <xf numFmtId="42" fontId="39" fillId="0" borderId="0"/>
    <xf numFmtId="177" fontId="45" fillId="0" borderId="0"/>
    <xf numFmtId="178" fontId="39" fillId="0" borderId="0"/>
    <xf numFmtId="42" fontId="39" fillId="0" borderId="0"/>
    <xf numFmtId="42" fontId="39" fillId="0" borderId="0"/>
    <xf numFmtId="179" fontId="42" fillId="0" borderId="0"/>
    <xf numFmtId="0" fontId="23" fillId="0" borderId="0"/>
    <xf numFmtId="180" fontId="39" fillId="0" borderId="0"/>
    <xf numFmtId="42" fontId="39" fillId="0" borderId="0"/>
    <xf numFmtId="178" fontId="39" fillId="0" borderId="0"/>
    <xf numFmtId="181" fontId="39" fillId="0" borderId="0"/>
    <xf numFmtId="42" fontId="39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23" fillId="0" borderId="0"/>
    <xf numFmtId="0" fontId="56" fillId="0" borderId="0"/>
    <xf numFmtId="42" fontId="39" fillId="0" borderId="0"/>
    <xf numFmtId="0" fontId="23" fillId="0" borderId="0"/>
    <xf numFmtId="0" fontId="23" fillId="0" borderId="0"/>
    <xf numFmtId="0" fontId="23" fillId="0" borderId="0"/>
    <xf numFmtId="171" fontId="42" fillId="0" borderId="0"/>
    <xf numFmtId="171" fontId="42" fillId="0" borderId="0"/>
    <xf numFmtId="0" fontId="23" fillId="0" borderId="0"/>
    <xf numFmtId="0" fontId="23" fillId="0" borderId="0"/>
    <xf numFmtId="0" fontId="56" fillId="0" borderId="0"/>
    <xf numFmtId="182" fontId="42" fillId="0" borderId="0"/>
    <xf numFmtId="42" fontId="39" fillId="0" borderId="0"/>
    <xf numFmtId="0" fontId="56" fillId="0" borderId="0"/>
    <xf numFmtId="0" fontId="35" fillId="0" borderId="0"/>
    <xf numFmtId="42" fontId="39" fillId="0" borderId="0"/>
    <xf numFmtId="171" fontId="42" fillId="0" borderId="0"/>
    <xf numFmtId="171" fontId="42" fillId="0" borderId="0"/>
    <xf numFmtId="182" fontId="42" fillId="0" borderId="0"/>
    <xf numFmtId="169" fontId="42" fillId="0" borderId="0"/>
    <xf numFmtId="170" fontId="39" fillId="0" borderId="0"/>
    <xf numFmtId="183" fontId="39" fillId="0" borderId="0"/>
    <xf numFmtId="184" fontId="39" fillId="0" borderId="0"/>
    <xf numFmtId="185" fontId="39" fillId="0" borderId="0"/>
    <xf numFmtId="184" fontId="39" fillId="0" borderId="0"/>
    <xf numFmtId="185" fontId="39" fillId="0" borderId="0"/>
    <xf numFmtId="169" fontId="39" fillId="0" borderId="0"/>
    <xf numFmtId="185" fontId="39" fillId="0" borderId="0"/>
    <xf numFmtId="186" fontId="39" fillId="0" borderId="0"/>
    <xf numFmtId="184" fontId="39" fillId="0" borderId="0"/>
    <xf numFmtId="169" fontId="39" fillId="0" borderId="0"/>
    <xf numFmtId="183" fontId="39" fillId="0" borderId="0"/>
    <xf numFmtId="0" fontId="39" fillId="0" borderId="0"/>
    <xf numFmtId="170" fontId="39" fillId="0" borderId="0"/>
    <xf numFmtId="170" fontId="39" fillId="0" borderId="0"/>
    <xf numFmtId="170" fontId="39" fillId="0" borderId="0"/>
    <xf numFmtId="170" fontId="39" fillId="0" borderId="0"/>
    <xf numFmtId="187" fontId="39" fillId="0" borderId="0"/>
    <xf numFmtId="185" fontId="39" fillId="0" borderId="0"/>
    <xf numFmtId="185" fontId="39" fillId="0" borderId="0"/>
    <xf numFmtId="185" fontId="39" fillId="0" borderId="0"/>
    <xf numFmtId="170" fontId="39" fillId="0" borderId="0"/>
    <xf numFmtId="188" fontId="39" fillId="0" borderId="0"/>
    <xf numFmtId="188" fontId="39" fillId="0" borderId="0"/>
    <xf numFmtId="188" fontId="39" fillId="0" borderId="0"/>
    <xf numFmtId="188" fontId="39" fillId="0" borderId="0"/>
    <xf numFmtId="187" fontId="39" fillId="0" borderId="0"/>
    <xf numFmtId="170" fontId="39" fillId="0" borderId="0"/>
    <xf numFmtId="170" fontId="39" fillId="0" borderId="0"/>
    <xf numFmtId="170" fontId="39" fillId="0" borderId="0"/>
    <xf numFmtId="169" fontId="39" fillId="0" borderId="0"/>
    <xf numFmtId="188" fontId="39" fillId="0" borderId="0"/>
    <xf numFmtId="170" fontId="39" fillId="0" borderId="0"/>
    <xf numFmtId="170" fontId="39" fillId="0" borderId="0"/>
    <xf numFmtId="185" fontId="39" fillId="0" borderId="0"/>
    <xf numFmtId="170" fontId="39" fillId="0" borderId="0"/>
    <xf numFmtId="170" fontId="39" fillId="0" borderId="0"/>
    <xf numFmtId="170" fontId="39" fillId="0" borderId="0"/>
    <xf numFmtId="185" fontId="39" fillId="0" borderId="0"/>
    <xf numFmtId="184" fontId="39" fillId="0" borderId="0"/>
    <xf numFmtId="184" fontId="39" fillId="0" borderId="0"/>
    <xf numFmtId="185" fontId="39" fillId="0" borderId="0"/>
    <xf numFmtId="184" fontId="39" fillId="0" borderId="0"/>
    <xf numFmtId="185" fontId="39" fillId="0" borderId="0"/>
    <xf numFmtId="189" fontId="39" fillId="0" borderId="0"/>
    <xf numFmtId="176" fontId="42" fillId="0" borderId="0"/>
    <xf numFmtId="42" fontId="39" fillId="0" borderId="0"/>
    <xf numFmtId="42" fontId="39" fillId="0" borderId="0"/>
    <xf numFmtId="179" fontId="42" fillId="0" borderId="0"/>
    <xf numFmtId="180" fontId="39" fillId="0" borderId="0"/>
    <xf numFmtId="42" fontId="39" fillId="0" borderId="0"/>
    <xf numFmtId="181" fontId="39" fillId="0" borderId="0"/>
    <xf numFmtId="178" fontId="39" fillId="0" borderId="0"/>
    <xf numFmtId="178" fontId="39" fillId="0" borderId="0"/>
    <xf numFmtId="178" fontId="39" fillId="0" borderId="0"/>
    <xf numFmtId="178" fontId="39" fillId="0" borderId="0"/>
    <xf numFmtId="181" fontId="39" fillId="0" borderId="0"/>
    <xf numFmtId="42" fontId="39" fillId="0" borderId="0"/>
    <xf numFmtId="42" fontId="39" fillId="0" borderId="0"/>
    <xf numFmtId="42" fontId="39" fillId="0" borderId="0"/>
    <xf numFmtId="178" fontId="39" fillId="0" borderId="0"/>
    <xf numFmtId="181" fontId="39" fillId="0" borderId="0"/>
    <xf numFmtId="172" fontId="39" fillId="0" borderId="0"/>
    <xf numFmtId="179" fontId="42" fillId="0" borderId="0"/>
    <xf numFmtId="172" fontId="39" fillId="0" borderId="0"/>
    <xf numFmtId="179" fontId="39" fillId="0" borderId="0"/>
    <xf numFmtId="172" fontId="39" fillId="0" borderId="0"/>
    <xf numFmtId="172" fontId="39" fillId="0" borderId="0"/>
    <xf numFmtId="179" fontId="39" fillId="0" borderId="0"/>
    <xf numFmtId="190" fontId="39" fillId="0" borderId="0"/>
    <xf numFmtId="170" fontId="39" fillId="0" borderId="0"/>
    <xf numFmtId="183" fontId="39" fillId="0" borderId="0"/>
    <xf numFmtId="184" fontId="39" fillId="0" borderId="0"/>
    <xf numFmtId="185" fontId="39" fillId="0" borderId="0"/>
    <xf numFmtId="184" fontId="39" fillId="0" borderId="0"/>
    <xf numFmtId="185" fontId="39" fillId="0" borderId="0"/>
    <xf numFmtId="169" fontId="39" fillId="0" borderId="0"/>
    <xf numFmtId="185" fontId="39" fillId="0" borderId="0"/>
    <xf numFmtId="186" fontId="39" fillId="0" borderId="0"/>
    <xf numFmtId="184" fontId="39" fillId="0" borderId="0"/>
    <xf numFmtId="169" fontId="39" fillId="0" borderId="0"/>
    <xf numFmtId="183" fontId="39" fillId="0" borderId="0"/>
    <xf numFmtId="0" fontId="39" fillId="0" borderId="0"/>
    <xf numFmtId="170" fontId="39" fillId="0" borderId="0"/>
    <xf numFmtId="170" fontId="39" fillId="0" borderId="0"/>
    <xf numFmtId="170" fontId="39" fillId="0" borderId="0"/>
    <xf numFmtId="170" fontId="39" fillId="0" borderId="0"/>
    <xf numFmtId="187" fontId="39" fillId="0" borderId="0"/>
    <xf numFmtId="185" fontId="39" fillId="0" borderId="0"/>
    <xf numFmtId="185" fontId="39" fillId="0" borderId="0"/>
    <xf numFmtId="185" fontId="39" fillId="0" borderId="0"/>
    <xf numFmtId="170" fontId="39" fillId="0" borderId="0"/>
    <xf numFmtId="188" fontId="39" fillId="0" borderId="0"/>
    <xf numFmtId="188" fontId="39" fillId="0" borderId="0"/>
    <xf numFmtId="188" fontId="39" fillId="0" borderId="0"/>
    <xf numFmtId="188" fontId="39" fillId="0" borderId="0"/>
    <xf numFmtId="187" fontId="39" fillId="0" borderId="0"/>
    <xf numFmtId="170" fontId="39" fillId="0" borderId="0"/>
    <xf numFmtId="170" fontId="39" fillId="0" borderId="0"/>
    <xf numFmtId="170" fontId="39" fillId="0" borderId="0"/>
    <xf numFmtId="169" fontId="39" fillId="0" borderId="0"/>
    <xf numFmtId="188" fontId="39" fillId="0" borderId="0"/>
    <xf numFmtId="170" fontId="39" fillId="0" borderId="0"/>
    <xf numFmtId="170" fontId="39" fillId="0" borderId="0"/>
    <xf numFmtId="185" fontId="39" fillId="0" borderId="0"/>
    <xf numFmtId="170" fontId="39" fillId="0" borderId="0"/>
    <xf numFmtId="170" fontId="39" fillId="0" borderId="0"/>
    <xf numFmtId="170" fontId="39" fillId="0" borderId="0"/>
    <xf numFmtId="185" fontId="39" fillId="0" borderId="0"/>
    <xf numFmtId="184" fontId="39" fillId="0" borderId="0"/>
    <xf numFmtId="184" fontId="39" fillId="0" borderId="0"/>
    <xf numFmtId="185" fontId="39" fillId="0" borderId="0"/>
    <xf numFmtId="184" fontId="39" fillId="0" borderId="0"/>
    <xf numFmtId="185" fontId="39" fillId="0" borderId="0"/>
    <xf numFmtId="189" fontId="39" fillId="0" borderId="0"/>
    <xf numFmtId="169" fontId="42" fillId="0" borderId="0"/>
    <xf numFmtId="191" fontId="39" fillId="0" borderId="0"/>
    <xf numFmtId="175" fontId="39" fillId="0" borderId="0"/>
    <xf numFmtId="192" fontId="39" fillId="0" borderId="0"/>
    <xf numFmtId="177" fontId="39" fillId="0" borderId="0"/>
    <xf numFmtId="192" fontId="39" fillId="0" borderId="0"/>
    <xf numFmtId="177" fontId="39" fillId="0" borderId="0"/>
    <xf numFmtId="176" fontId="39" fillId="0" borderId="0"/>
    <xf numFmtId="177" fontId="39" fillId="0" borderId="0"/>
    <xf numFmtId="193" fontId="39" fillId="0" borderId="0"/>
    <xf numFmtId="192" fontId="39" fillId="0" borderId="0"/>
    <xf numFmtId="176" fontId="39" fillId="0" borderId="0"/>
    <xf numFmtId="175" fontId="39" fillId="0" borderId="0"/>
    <xf numFmtId="177" fontId="42" fillId="0" borderId="0"/>
    <xf numFmtId="194" fontId="39" fillId="0" borderId="0"/>
    <xf numFmtId="191" fontId="39" fillId="0" borderId="0"/>
    <xf numFmtId="191" fontId="39" fillId="0" borderId="0"/>
    <xf numFmtId="191" fontId="39" fillId="0" borderId="0"/>
    <xf numFmtId="191" fontId="39" fillId="0" borderId="0"/>
    <xf numFmtId="195" fontId="39" fillId="0" borderId="0"/>
    <xf numFmtId="177" fontId="39" fillId="0" borderId="0"/>
    <xf numFmtId="177" fontId="39" fillId="0" borderId="0"/>
    <xf numFmtId="177" fontId="39" fillId="0" borderId="0"/>
    <xf numFmtId="191" fontId="39" fillId="0" borderId="0"/>
    <xf numFmtId="196" fontId="39" fillId="0" borderId="0"/>
    <xf numFmtId="196" fontId="39" fillId="0" borderId="0"/>
    <xf numFmtId="196" fontId="39" fillId="0" borderId="0"/>
    <xf numFmtId="196" fontId="39" fillId="0" borderId="0"/>
    <xf numFmtId="195" fontId="39" fillId="0" borderId="0"/>
    <xf numFmtId="191" fontId="39" fillId="0" borderId="0"/>
    <xf numFmtId="191" fontId="39" fillId="0" borderId="0"/>
    <xf numFmtId="191" fontId="39" fillId="0" borderId="0"/>
    <xf numFmtId="176" fontId="39" fillId="0" borderId="0"/>
    <xf numFmtId="196" fontId="39" fillId="0" borderId="0"/>
    <xf numFmtId="191" fontId="39" fillId="0" borderId="0"/>
    <xf numFmtId="191" fontId="39" fillId="0" borderId="0"/>
    <xf numFmtId="177" fontId="39" fillId="0" borderId="0"/>
    <xf numFmtId="191" fontId="39" fillId="0" borderId="0"/>
    <xf numFmtId="191" fontId="39" fillId="0" borderId="0"/>
    <xf numFmtId="191" fontId="39" fillId="0" borderId="0"/>
    <xf numFmtId="177" fontId="39" fillId="0" borderId="0"/>
    <xf numFmtId="192" fontId="39" fillId="0" borderId="0"/>
    <xf numFmtId="192" fontId="39" fillId="0" borderId="0"/>
    <xf numFmtId="177" fontId="39" fillId="0" borderId="0"/>
    <xf numFmtId="192" fontId="39" fillId="0" borderId="0"/>
    <xf numFmtId="177" fontId="39" fillId="0" borderId="0"/>
    <xf numFmtId="197" fontId="39" fillId="0" borderId="0"/>
    <xf numFmtId="42" fontId="39" fillId="0" borderId="0"/>
    <xf numFmtId="179" fontId="42" fillId="0" borderId="0"/>
    <xf numFmtId="180" fontId="39" fillId="0" borderId="0"/>
    <xf numFmtId="42" fontId="39" fillId="0" borderId="0"/>
    <xf numFmtId="181" fontId="39" fillId="0" borderId="0"/>
    <xf numFmtId="178" fontId="39" fillId="0" borderId="0"/>
    <xf numFmtId="178" fontId="39" fillId="0" borderId="0"/>
    <xf numFmtId="178" fontId="39" fillId="0" borderId="0"/>
    <xf numFmtId="178" fontId="39" fillId="0" borderId="0"/>
    <xf numFmtId="181" fontId="39" fillId="0" borderId="0"/>
    <xf numFmtId="42" fontId="39" fillId="0" borderId="0"/>
    <xf numFmtId="42" fontId="39" fillId="0" borderId="0"/>
    <xf numFmtId="42" fontId="39" fillId="0" borderId="0"/>
    <xf numFmtId="178" fontId="39" fillId="0" borderId="0"/>
    <xf numFmtId="181" fontId="39" fillId="0" borderId="0"/>
    <xf numFmtId="172" fontId="39" fillId="0" borderId="0"/>
    <xf numFmtId="179" fontId="42" fillId="0" borderId="0"/>
    <xf numFmtId="172" fontId="39" fillId="0" borderId="0"/>
    <xf numFmtId="179" fontId="39" fillId="0" borderId="0"/>
    <xf numFmtId="172" fontId="39" fillId="0" borderId="0"/>
    <xf numFmtId="172" fontId="39" fillId="0" borderId="0"/>
    <xf numFmtId="179" fontId="39" fillId="0" borderId="0"/>
    <xf numFmtId="190" fontId="39" fillId="0" borderId="0"/>
    <xf numFmtId="176" fontId="42" fillId="0" borderId="0"/>
    <xf numFmtId="169" fontId="42" fillId="0" borderId="0"/>
    <xf numFmtId="191" fontId="39" fillId="0" borderId="0"/>
    <xf numFmtId="175" fontId="39" fillId="0" borderId="0"/>
    <xf numFmtId="192" fontId="39" fillId="0" borderId="0"/>
    <xf numFmtId="177" fontId="39" fillId="0" borderId="0"/>
    <xf numFmtId="192" fontId="39" fillId="0" borderId="0"/>
    <xf numFmtId="177" fontId="39" fillId="0" borderId="0"/>
    <xf numFmtId="176" fontId="39" fillId="0" borderId="0"/>
    <xf numFmtId="177" fontId="39" fillId="0" borderId="0"/>
    <xf numFmtId="193" fontId="39" fillId="0" borderId="0"/>
    <xf numFmtId="192" fontId="39" fillId="0" borderId="0"/>
    <xf numFmtId="176" fontId="39" fillId="0" borderId="0"/>
    <xf numFmtId="175" fontId="39" fillId="0" borderId="0"/>
    <xf numFmtId="177" fontId="42" fillId="0" borderId="0"/>
    <xf numFmtId="194" fontId="39" fillId="0" borderId="0"/>
    <xf numFmtId="191" fontId="39" fillId="0" borderId="0"/>
    <xf numFmtId="191" fontId="39" fillId="0" borderId="0"/>
    <xf numFmtId="191" fontId="39" fillId="0" borderId="0"/>
    <xf numFmtId="191" fontId="39" fillId="0" borderId="0"/>
    <xf numFmtId="195" fontId="39" fillId="0" borderId="0"/>
    <xf numFmtId="177" fontId="39" fillId="0" borderId="0"/>
    <xf numFmtId="177" fontId="39" fillId="0" borderId="0"/>
    <xf numFmtId="177" fontId="39" fillId="0" borderId="0"/>
    <xf numFmtId="191" fontId="39" fillId="0" borderId="0"/>
    <xf numFmtId="196" fontId="39" fillId="0" borderId="0"/>
    <xf numFmtId="196" fontId="39" fillId="0" borderId="0"/>
    <xf numFmtId="196" fontId="39" fillId="0" borderId="0"/>
    <xf numFmtId="196" fontId="39" fillId="0" borderId="0"/>
    <xf numFmtId="195" fontId="39" fillId="0" borderId="0"/>
    <xf numFmtId="191" fontId="39" fillId="0" borderId="0"/>
    <xf numFmtId="191" fontId="39" fillId="0" borderId="0"/>
    <xf numFmtId="191" fontId="39" fillId="0" borderId="0"/>
    <xf numFmtId="176" fontId="39" fillId="0" borderId="0"/>
    <xf numFmtId="196" fontId="39" fillId="0" borderId="0"/>
    <xf numFmtId="191" fontId="39" fillId="0" borderId="0"/>
    <xf numFmtId="191" fontId="39" fillId="0" borderId="0"/>
    <xf numFmtId="177" fontId="39" fillId="0" borderId="0"/>
    <xf numFmtId="191" fontId="39" fillId="0" borderId="0"/>
    <xf numFmtId="191" fontId="39" fillId="0" borderId="0"/>
    <xf numFmtId="191" fontId="39" fillId="0" borderId="0"/>
    <xf numFmtId="177" fontId="39" fillId="0" borderId="0"/>
    <xf numFmtId="192" fontId="39" fillId="0" borderId="0"/>
    <xf numFmtId="192" fontId="39" fillId="0" borderId="0"/>
    <xf numFmtId="177" fontId="39" fillId="0" borderId="0"/>
    <xf numFmtId="192" fontId="39" fillId="0" borderId="0"/>
    <xf numFmtId="177" fontId="39" fillId="0" borderId="0"/>
    <xf numFmtId="197" fontId="39" fillId="0" borderId="0"/>
    <xf numFmtId="170" fontId="39" fillId="0" borderId="0"/>
    <xf numFmtId="183" fontId="39" fillId="0" borderId="0"/>
    <xf numFmtId="184" fontId="39" fillId="0" borderId="0"/>
    <xf numFmtId="185" fontId="39" fillId="0" borderId="0"/>
    <xf numFmtId="184" fontId="39" fillId="0" borderId="0"/>
    <xf numFmtId="185" fontId="39" fillId="0" borderId="0"/>
    <xf numFmtId="169" fontId="39" fillId="0" borderId="0"/>
    <xf numFmtId="185" fontId="39" fillId="0" borderId="0"/>
    <xf numFmtId="186" fontId="39" fillId="0" borderId="0"/>
    <xf numFmtId="184" fontId="39" fillId="0" borderId="0"/>
    <xf numFmtId="169" fontId="39" fillId="0" borderId="0"/>
    <xf numFmtId="183" fontId="39" fillId="0" borderId="0"/>
    <xf numFmtId="0" fontId="39" fillId="0" borderId="0"/>
    <xf numFmtId="170" fontId="39" fillId="0" borderId="0"/>
    <xf numFmtId="170" fontId="39" fillId="0" borderId="0"/>
    <xf numFmtId="170" fontId="39" fillId="0" borderId="0"/>
    <xf numFmtId="170" fontId="39" fillId="0" borderId="0"/>
    <xf numFmtId="187" fontId="39" fillId="0" borderId="0"/>
    <xf numFmtId="185" fontId="39" fillId="0" borderId="0"/>
    <xf numFmtId="185" fontId="39" fillId="0" borderId="0"/>
    <xf numFmtId="185" fontId="39" fillId="0" borderId="0"/>
    <xf numFmtId="170" fontId="39" fillId="0" borderId="0"/>
    <xf numFmtId="188" fontId="39" fillId="0" borderId="0"/>
    <xf numFmtId="188" fontId="39" fillId="0" borderId="0"/>
    <xf numFmtId="188" fontId="39" fillId="0" borderId="0"/>
    <xf numFmtId="188" fontId="39" fillId="0" borderId="0"/>
    <xf numFmtId="187" fontId="39" fillId="0" borderId="0"/>
    <xf numFmtId="170" fontId="39" fillId="0" borderId="0"/>
    <xf numFmtId="170" fontId="39" fillId="0" borderId="0"/>
    <xf numFmtId="170" fontId="39" fillId="0" borderId="0"/>
    <xf numFmtId="169" fontId="39" fillId="0" borderId="0"/>
    <xf numFmtId="188" fontId="39" fillId="0" borderId="0"/>
    <xf numFmtId="170" fontId="39" fillId="0" borderId="0"/>
    <xf numFmtId="170" fontId="39" fillId="0" borderId="0"/>
    <xf numFmtId="185" fontId="39" fillId="0" borderId="0"/>
    <xf numFmtId="170" fontId="39" fillId="0" borderId="0"/>
    <xf numFmtId="170" fontId="39" fillId="0" borderId="0"/>
    <xf numFmtId="170" fontId="39" fillId="0" borderId="0"/>
    <xf numFmtId="185" fontId="39" fillId="0" borderId="0"/>
    <xf numFmtId="184" fontId="39" fillId="0" borderId="0"/>
    <xf numFmtId="184" fontId="39" fillId="0" borderId="0"/>
    <xf numFmtId="185" fontId="39" fillId="0" borderId="0"/>
    <xf numFmtId="184" fontId="39" fillId="0" borderId="0"/>
    <xf numFmtId="185" fontId="39" fillId="0" borderId="0"/>
    <xf numFmtId="189" fontId="39" fillId="0" borderId="0"/>
    <xf numFmtId="176" fontId="42" fillId="0" borderId="0"/>
    <xf numFmtId="171" fontId="42" fillId="0" borderId="0"/>
    <xf numFmtId="171" fontId="42" fillId="0" borderId="0"/>
    <xf numFmtId="182" fontId="42" fillId="0" borderId="0"/>
    <xf numFmtId="0" fontId="23" fillId="0" borderId="0"/>
    <xf numFmtId="181" fontId="39" fillId="0" borderId="0"/>
    <xf numFmtId="0" fontId="47" fillId="0" borderId="0"/>
    <xf numFmtId="172" fontId="39" fillId="0" borderId="0"/>
    <xf numFmtId="179" fontId="42" fillId="0" borderId="0"/>
    <xf numFmtId="172" fontId="39" fillId="0" borderId="0"/>
    <xf numFmtId="179" fontId="39" fillId="0" borderId="0"/>
    <xf numFmtId="172" fontId="39" fillId="0" borderId="0"/>
    <xf numFmtId="172" fontId="39" fillId="0" borderId="0"/>
    <xf numFmtId="179" fontId="39" fillId="0" borderId="0"/>
    <xf numFmtId="190" fontId="39" fillId="0" borderId="0"/>
    <xf numFmtId="0" fontId="56" fillId="0" borderId="0"/>
    <xf numFmtId="176" fontId="42" fillId="0" borderId="0"/>
    <xf numFmtId="191" fontId="39" fillId="0" borderId="0"/>
    <xf numFmtId="175" fontId="39" fillId="0" borderId="0"/>
    <xf numFmtId="192" fontId="39" fillId="0" borderId="0"/>
    <xf numFmtId="177" fontId="39" fillId="0" borderId="0"/>
    <xf numFmtId="192" fontId="39" fillId="0" borderId="0"/>
    <xf numFmtId="177" fontId="39" fillId="0" borderId="0"/>
    <xf numFmtId="176" fontId="39" fillId="0" borderId="0"/>
    <xf numFmtId="177" fontId="39" fillId="0" borderId="0"/>
    <xf numFmtId="193" fontId="39" fillId="0" borderId="0"/>
    <xf numFmtId="192" fontId="39" fillId="0" borderId="0"/>
    <xf numFmtId="176" fontId="39" fillId="0" borderId="0"/>
    <xf numFmtId="175" fontId="39" fillId="0" borderId="0"/>
    <xf numFmtId="177" fontId="42" fillId="0" borderId="0"/>
    <xf numFmtId="194" fontId="39" fillId="0" borderId="0"/>
    <xf numFmtId="191" fontId="39" fillId="0" borderId="0"/>
    <xf numFmtId="191" fontId="39" fillId="0" borderId="0"/>
    <xf numFmtId="191" fontId="39" fillId="0" borderId="0"/>
    <xf numFmtId="191" fontId="39" fillId="0" borderId="0"/>
    <xf numFmtId="195" fontId="39" fillId="0" borderId="0"/>
    <xf numFmtId="177" fontId="39" fillId="0" borderId="0"/>
    <xf numFmtId="177" fontId="39" fillId="0" borderId="0"/>
    <xf numFmtId="177" fontId="39" fillId="0" borderId="0"/>
    <xf numFmtId="191" fontId="39" fillId="0" borderId="0"/>
    <xf numFmtId="196" fontId="39" fillId="0" borderId="0"/>
    <xf numFmtId="196" fontId="39" fillId="0" borderId="0"/>
    <xf numFmtId="196" fontId="39" fillId="0" borderId="0"/>
    <xf numFmtId="196" fontId="39" fillId="0" borderId="0"/>
    <xf numFmtId="195" fontId="39" fillId="0" borderId="0"/>
    <xf numFmtId="191" fontId="39" fillId="0" borderId="0"/>
    <xf numFmtId="191" fontId="39" fillId="0" borderId="0"/>
    <xf numFmtId="191" fontId="39" fillId="0" borderId="0"/>
    <xf numFmtId="176" fontId="39" fillId="0" borderId="0"/>
    <xf numFmtId="196" fontId="39" fillId="0" borderId="0"/>
    <xf numFmtId="191" fontId="39" fillId="0" borderId="0"/>
    <xf numFmtId="191" fontId="39" fillId="0" borderId="0"/>
    <xf numFmtId="177" fontId="39" fillId="0" borderId="0"/>
    <xf numFmtId="191" fontId="39" fillId="0" borderId="0"/>
    <xf numFmtId="191" fontId="39" fillId="0" borderId="0"/>
    <xf numFmtId="191" fontId="39" fillId="0" borderId="0"/>
    <xf numFmtId="177" fontId="39" fillId="0" borderId="0"/>
    <xf numFmtId="192" fontId="39" fillId="0" borderId="0"/>
    <xf numFmtId="192" fontId="39" fillId="0" borderId="0"/>
    <xf numFmtId="177" fontId="39" fillId="0" borderId="0"/>
    <xf numFmtId="192" fontId="39" fillId="0" borderId="0"/>
    <xf numFmtId="177" fontId="39" fillId="0" borderId="0"/>
    <xf numFmtId="197" fontId="39" fillId="0" borderId="0"/>
    <xf numFmtId="170" fontId="39" fillId="0" borderId="0"/>
    <xf numFmtId="183" fontId="39" fillId="0" borderId="0"/>
    <xf numFmtId="184" fontId="39" fillId="0" borderId="0"/>
    <xf numFmtId="185" fontId="39" fillId="0" borderId="0"/>
    <xf numFmtId="184" fontId="39" fillId="0" borderId="0"/>
    <xf numFmtId="185" fontId="39" fillId="0" borderId="0"/>
    <xf numFmtId="169" fontId="39" fillId="0" borderId="0"/>
    <xf numFmtId="185" fontId="39" fillId="0" borderId="0"/>
    <xf numFmtId="186" fontId="39" fillId="0" borderId="0"/>
    <xf numFmtId="184" fontId="39" fillId="0" borderId="0"/>
    <xf numFmtId="169" fontId="39" fillId="0" borderId="0"/>
    <xf numFmtId="183" fontId="39" fillId="0" borderId="0"/>
    <xf numFmtId="0" fontId="39" fillId="0" borderId="0"/>
    <xf numFmtId="170" fontId="39" fillId="0" borderId="0"/>
    <xf numFmtId="170" fontId="39" fillId="0" borderId="0"/>
    <xf numFmtId="170" fontId="39" fillId="0" borderId="0"/>
    <xf numFmtId="170" fontId="39" fillId="0" borderId="0"/>
    <xf numFmtId="187" fontId="39" fillId="0" borderId="0"/>
    <xf numFmtId="185" fontId="39" fillId="0" borderId="0"/>
    <xf numFmtId="185" fontId="39" fillId="0" borderId="0"/>
    <xf numFmtId="185" fontId="39" fillId="0" borderId="0"/>
    <xf numFmtId="170" fontId="39" fillId="0" borderId="0"/>
    <xf numFmtId="188" fontId="39" fillId="0" borderId="0"/>
    <xf numFmtId="188" fontId="39" fillId="0" borderId="0"/>
    <xf numFmtId="188" fontId="39" fillId="0" borderId="0"/>
    <xf numFmtId="188" fontId="39" fillId="0" borderId="0"/>
    <xf numFmtId="187" fontId="39" fillId="0" borderId="0"/>
    <xf numFmtId="170" fontId="39" fillId="0" borderId="0"/>
    <xf numFmtId="170" fontId="39" fillId="0" borderId="0"/>
    <xf numFmtId="170" fontId="39" fillId="0" borderId="0"/>
    <xf numFmtId="169" fontId="39" fillId="0" borderId="0"/>
    <xf numFmtId="188" fontId="39" fillId="0" borderId="0"/>
    <xf numFmtId="170" fontId="39" fillId="0" borderId="0"/>
    <xf numFmtId="170" fontId="39" fillId="0" borderId="0"/>
    <xf numFmtId="185" fontId="39" fillId="0" borderId="0"/>
    <xf numFmtId="170" fontId="39" fillId="0" borderId="0"/>
    <xf numFmtId="170" fontId="39" fillId="0" borderId="0"/>
    <xf numFmtId="170" fontId="39" fillId="0" borderId="0"/>
    <xf numFmtId="185" fontId="39" fillId="0" borderId="0"/>
    <xf numFmtId="184" fontId="39" fillId="0" borderId="0"/>
    <xf numFmtId="184" fontId="39" fillId="0" borderId="0"/>
    <xf numFmtId="185" fontId="39" fillId="0" borderId="0"/>
    <xf numFmtId="184" fontId="39" fillId="0" borderId="0"/>
    <xf numFmtId="185" fontId="39" fillId="0" borderId="0"/>
    <xf numFmtId="189" fontId="39" fillId="0" borderId="0"/>
    <xf numFmtId="171" fontId="42" fillId="0" borderId="0"/>
    <xf numFmtId="171" fontId="42" fillId="0" borderId="0"/>
    <xf numFmtId="182" fontId="42" fillId="0" borderId="0"/>
    <xf numFmtId="169" fontId="42" fillId="0" borderId="0"/>
    <xf numFmtId="0" fontId="56" fillId="0" borderId="0"/>
    <xf numFmtId="42" fontId="39" fillId="0" borderId="0"/>
    <xf numFmtId="0" fontId="23" fillId="0" borderId="0"/>
    <xf numFmtId="0" fontId="6" fillId="0" borderId="0"/>
    <xf numFmtId="42" fontId="3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98" fontId="57" fillId="0" borderId="0"/>
    <xf numFmtId="0" fontId="58" fillId="0" borderId="0"/>
    <xf numFmtId="0" fontId="58" fillId="0" borderId="0"/>
    <xf numFmtId="0" fontId="58" fillId="0" borderId="0"/>
    <xf numFmtId="0" fontId="55" fillId="0" borderId="0">
      <alignment vertical="top"/>
      <protection locked="0"/>
    </xf>
    <xf numFmtId="199" fontId="67" fillId="0" borderId="0"/>
    <xf numFmtId="200" fontId="67" fillId="0" borderId="0"/>
    <xf numFmtId="201" fontId="83" fillId="0" borderId="0"/>
    <xf numFmtId="173" fontId="83" fillId="0" borderId="0"/>
    <xf numFmtId="0" fontId="86" fillId="0" borderId="0">
      <alignment vertical="top"/>
      <protection locked="0"/>
    </xf>
    <xf numFmtId="0" fontId="107" fillId="0" borderId="0"/>
    <xf numFmtId="0" fontId="59" fillId="4" borderId="0"/>
    <xf numFmtId="0" fontId="59" fillId="4" borderId="0"/>
    <xf numFmtId="9" fontId="60" fillId="0" borderId="0"/>
    <xf numFmtId="0" fontId="61" fillId="4" borderId="0"/>
    <xf numFmtId="0" fontId="8" fillId="5" borderId="0"/>
    <xf numFmtId="0" fontId="8" fillId="6" borderId="0"/>
    <xf numFmtId="0" fontId="8" fillId="7" borderId="0"/>
    <xf numFmtId="0" fontId="8" fillId="8" borderId="0"/>
    <xf numFmtId="0" fontId="8" fillId="9" borderId="0"/>
    <xf numFmtId="0" fontId="8" fillId="10" borderId="0"/>
    <xf numFmtId="0" fontId="62" fillId="5" borderId="0">
      <alignment vertical="center"/>
    </xf>
    <xf numFmtId="0" fontId="62" fillId="6" borderId="0">
      <alignment vertical="center"/>
    </xf>
    <xf numFmtId="0" fontId="62" fillId="7" borderId="0">
      <alignment vertical="center"/>
    </xf>
    <xf numFmtId="0" fontId="62" fillId="8" borderId="0">
      <alignment vertical="center"/>
    </xf>
    <xf numFmtId="0" fontId="62" fillId="9" borderId="0">
      <alignment vertical="center"/>
    </xf>
    <xf numFmtId="0" fontId="62" fillId="10" borderId="0">
      <alignment vertical="center"/>
    </xf>
    <xf numFmtId="0" fontId="63" fillId="4" borderId="0"/>
    <xf numFmtId="0" fontId="64" fillId="0" borderId="0">
      <alignment wrapText="1"/>
    </xf>
    <xf numFmtId="0" fontId="8" fillId="11" borderId="0"/>
    <xf numFmtId="0" fontId="8" fillId="12" borderId="0"/>
    <xf numFmtId="0" fontId="8" fillId="13" borderId="0"/>
    <xf numFmtId="0" fontId="8" fillId="8" borderId="0"/>
    <xf numFmtId="0" fontId="8" fillId="11" borderId="0"/>
    <xf numFmtId="0" fontId="8" fillId="14" borderId="0"/>
    <xf numFmtId="0" fontId="62" fillId="11" borderId="0">
      <alignment vertical="center"/>
    </xf>
    <xf numFmtId="0" fontId="62" fillId="12" borderId="0">
      <alignment vertical="center"/>
    </xf>
    <xf numFmtId="0" fontId="62" fillId="13" borderId="0">
      <alignment vertical="center"/>
    </xf>
    <xf numFmtId="0" fontId="62" fillId="8" borderId="0">
      <alignment vertical="center"/>
    </xf>
    <xf numFmtId="0" fontId="62" fillId="11" borderId="0">
      <alignment vertical="center"/>
    </xf>
    <xf numFmtId="0" fontId="62" fillId="14" borderId="0">
      <alignment vertical="center"/>
    </xf>
    <xf numFmtId="0" fontId="10" fillId="15" borderId="0"/>
    <xf numFmtId="0" fontId="10" fillId="12" borderId="0"/>
    <xf numFmtId="0" fontId="10" fillId="13" borderId="0"/>
    <xf numFmtId="0" fontId="10" fillId="16" borderId="0"/>
    <xf numFmtId="0" fontId="10" fillId="17" borderId="0"/>
    <xf numFmtId="0" fontId="10" fillId="18" borderId="0"/>
    <xf numFmtId="0" fontId="65" fillId="15" borderId="0">
      <alignment vertical="center"/>
    </xf>
    <xf numFmtId="0" fontId="65" fillId="12" borderId="0">
      <alignment vertical="center"/>
    </xf>
    <xf numFmtId="0" fontId="65" fillId="13" borderId="0">
      <alignment vertical="center"/>
    </xf>
    <xf numFmtId="0" fontId="65" fillId="16" borderId="0">
      <alignment vertical="center"/>
    </xf>
    <xf numFmtId="0" fontId="65" fillId="17" borderId="0">
      <alignment vertical="center"/>
    </xf>
    <xf numFmtId="0" fontId="65" fillId="18" borderId="0">
      <alignment vertical="center"/>
    </xf>
    <xf numFmtId="0" fontId="10" fillId="19" borderId="0"/>
    <xf numFmtId="0" fontId="10" fillId="20" borderId="0"/>
    <xf numFmtId="0" fontId="10" fillId="21" borderId="0"/>
    <xf numFmtId="0" fontId="10" fillId="16" borderId="0"/>
    <xf numFmtId="0" fontId="10" fillId="17" borderId="0"/>
    <xf numFmtId="0" fontId="10" fillId="22" borderId="0"/>
    <xf numFmtId="202" fontId="6" fillId="0" borderId="0"/>
    <xf numFmtId="0" fontId="66" fillId="0" borderId="0"/>
    <xf numFmtId="203" fontId="42" fillId="0" borderId="0"/>
    <xf numFmtId="204" fontId="6" fillId="0" borderId="0"/>
    <xf numFmtId="0" fontId="66" fillId="0" borderId="0"/>
    <xf numFmtId="202" fontId="42" fillId="0" borderId="0"/>
    <xf numFmtId="0" fontId="68" fillId="0" borderId="0">
      <alignment horizontal="center" wrapText="1"/>
      <protection locked="0"/>
    </xf>
    <xf numFmtId="175" fontId="69" fillId="0" borderId="0"/>
    <xf numFmtId="0" fontId="66" fillId="0" borderId="0"/>
    <xf numFmtId="175" fontId="70" fillId="0" borderId="0"/>
    <xf numFmtId="183" fontId="69" fillId="0" borderId="0"/>
    <xf numFmtId="0" fontId="66" fillId="0" borderId="0"/>
    <xf numFmtId="183" fontId="70" fillId="0" borderId="0"/>
    <xf numFmtId="171" fontId="42" fillId="0" borderId="0"/>
    <xf numFmtId="0" fontId="11" fillId="6" borderId="0"/>
    <xf numFmtId="0" fontId="71" fillId="0" borderId="0"/>
    <xf numFmtId="0" fontId="66" fillId="0" borderId="0"/>
    <xf numFmtId="0" fontId="40" fillId="0" borderId="0"/>
    <xf numFmtId="0" fontId="66" fillId="0" borderId="0"/>
    <xf numFmtId="0" fontId="72" fillId="0" borderId="0"/>
    <xf numFmtId="205" fontId="6" fillId="0" borderId="0"/>
    <xf numFmtId="206" fontId="6" fillId="0" borderId="0"/>
    <xf numFmtId="207" fontId="6" fillId="0" borderId="0"/>
    <xf numFmtId="208" fontId="6" fillId="0" borderId="0"/>
    <xf numFmtId="209" fontId="6" fillId="0" borderId="0"/>
    <xf numFmtId="210" fontId="6" fillId="0" borderId="0"/>
    <xf numFmtId="211" fontId="6" fillId="0" borderId="0"/>
    <xf numFmtId="206" fontId="6" fillId="0" borderId="0"/>
    <xf numFmtId="0" fontId="12" fillId="23" borderId="17"/>
    <xf numFmtId="0" fontId="25" fillId="0" borderId="0"/>
    <xf numFmtId="212" fontId="39" fillId="0" borderId="0"/>
    <xf numFmtId="213" fontId="41" fillId="24" borderId="1">
      <alignment horizontal="center" vertical="center"/>
    </xf>
    <xf numFmtId="210" fontId="6" fillId="0" borderId="0"/>
    <xf numFmtId="170" fontId="8" fillId="0" borderId="0"/>
    <xf numFmtId="214" fontId="6" fillId="0" borderId="0"/>
    <xf numFmtId="214" fontId="6" fillId="0" borderId="0"/>
    <xf numFmtId="170" fontId="39" fillId="0" borderId="0"/>
    <xf numFmtId="214" fontId="6" fillId="0" borderId="0"/>
    <xf numFmtId="170" fontId="47" fillId="0" borderId="0"/>
    <xf numFmtId="0" fontId="6" fillId="0" borderId="0"/>
    <xf numFmtId="214" fontId="6" fillId="0" borderId="0"/>
    <xf numFmtId="214" fontId="6" fillId="0" borderId="0"/>
    <xf numFmtId="170" fontId="6" fillId="0" borderId="0"/>
    <xf numFmtId="170" fontId="133" fillId="0" borderId="0"/>
    <xf numFmtId="0" fontId="6" fillId="0" borderId="0"/>
    <xf numFmtId="170" fontId="6" fillId="0" borderId="0"/>
    <xf numFmtId="170" fontId="6" fillId="0" borderId="0"/>
    <xf numFmtId="169" fontId="74" fillId="0" borderId="0"/>
    <xf numFmtId="179" fontId="6" fillId="0" borderId="0"/>
    <xf numFmtId="170" fontId="47" fillId="0" borderId="0"/>
    <xf numFmtId="170" fontId="35" fillId="0" borderId="0"/>
    <xf numFmtId="171" fontId="6" fillId="0" borderId="0"/>
    <xf numFmtId="3" fontId="6" fillId="0" borderId="0"/>
    <xf numFmtId="0" fontId="75" fillId="0" borderId="0">
      <alignment horizontal="left"/>
    </xf>
    <xf numFmtId="0" fontId="30" fillId="0" borderId="0"/>
    <xf numFmtId="206" fontId="6" fillId="0" borderId="0"/>
    <xf numFmtId="215" fontId="6" fillId="0" borderId="0"/>
    <xf numFmtId="216" fontId="6" fillId="0" borderId="0"/>
    <xf numFmtId="217" fontId="6" fillId="0" borderId="0"/>
    <xf numFmtId="0" fontId="13" fillId="25" borderId="18"/>
    <xf numFmtId="176" fontId="45" fillId="0" borderId="0"/>
    <xf numFmtId="1" fontId="73" fillId="0" borderId="12"/>
    <xf numFmtId="175" fontId="76" fillId="0" borderId="0"/>
    <xf numFmtId="175" fontId="31" fillId="0" borderId="0"/>
    <xf numFmtId="0" fontId="6" fillId="0" borderId="0"/>
    <xf numFmtId="14" fontId="77" fillId="0" borderId="0"/>
    <xf numFmtId="0" fontId="78" fillId="0" borderId="0">
      <protection locked="0"/>
    </xf>
    <xf numFmtId="218" fontId="79" fillId="0" borderId="0"/>
    <xf numFmtId="4" fontId="23" fillId="0" borderId="0"/>
    <xf numFmtId="219" fontId="6" fillId="0" borderId="0"/>
    <xf numFmtId="220" fontId="80" fillId="0" borderId="0"/>
    <xf numFmtId="221" fontId="80" fillId="0" borderId="0"/>
    <xf numFmtId="220" fontId="80" fillId="0" borderId="0"/>
    <xf numFmtId="191" fontId="80" fillId="0" borderId="0"/>
    <xf numFmtId="222" fontId="6" fillId="0" borderId="0"/>
    <xf numFmtId="222" fontId="6" fillId="0" borderId="0"/>
    <xf numFmtId="222" fontId="6" fillId="0" borderId="0"/>
    <xf numFmtId="222" fontId="6" fillId="0" borderId="0"/>
    <xf numFmtId="220" fontId="80" fillId="0" borderId="0"/>
    <xf numFmtId="191" fontId="80" fillId="0" borderId="0"/>
    <xf numFmtId="191" fontId="80" fillId="0" borderId="0"/>
    <xf numFmtId="191" fontId="80" fillId="0" borderId="0"/>
    <xf numFmtId="222" fontId="6" fillId="0" borderId="0"/>
    <xf numFmtId="222" fontId="6" fillId="0" borderId="0"/>
    <xf numFmtId="223" fontId="45" fillId="0" borderId="0"/>
    <xf numFmtId="223" fontId="45" fillId="0" borderId="0"/>
    <xf numFmtId="224" fontId="45" fillId="0" borderId="0"/>
    <xf numFmtId="224" fontId="45" fillId="0" borderId="0"/>
    <xf numFmtId="191" fontId="80" fillId="0" borderId="0"/>
    <xf numFmtId="191" fontId="80" fillId="0" borderId="0"/>
    <xf numFmtId="191" fontId="80" fillId="0" borderId="0"/>
    <xf numFmtId="191" fontId="80" fillId="0" borderId="0"/>
    <xf numFmtId="191" fontId="80" fillId="0" borderId="0"/>
    <xf numFmtId="191" fontId="80" fillId="0" borderId="0"/>
    <xf numFmtId="191" fontId="80" fillId="0" borderId="0"/>
    <xf numFmtId="191" fontId="80" fillId="0" borderId="0"/>
    <xf numFmtId="191" fontId="80" fillId="0" borderId="0"/>
    <xf numFmtId="191" fontId="80" fillId="0" borderId="0"/>
    <xf numFmtId="221" fontId="80" fillId="0" borderId="0"/>
    <xf numFmtId="170" fontId="80" fillId="0" borderId="0"/>
    <xf numFmtId="225" fontId="6" fillId="0" borderId="0"/>
    <xf numFmtId="225" fontId="6" fillId="0" borderId="0"/>
    <xf numFmtId="225" fontId="6" fillId="0" borderId="0"/>
    <xf numFmtId="225" fontId="6" fillId="0" borderId="0"/>
    <xf numFmtId="221" fontId="80" fillId="0" borderId="0"/>
    <xf numFmtId="170" fontId="80" fillId="0" borderId="0"/>
    <xf numFmtId="170" fontId="80" fillId="0" borderId="0"/>
    <xf numFmtId="170" fontId="80" fillId="0" borderId="0"/>
    <xf numFmtId="225" fontId="6" fillId="0" borderId="0"/>
    <xf numFmtId="225" fontId="6" fillId="0" borderId="0"/>
    <xf numFmtId="226" fontId="45" fillId="0" borderId="0"/>
    <xf numFmtId="226" fontId="45" fillId="0" borderId="0"/>
    <xf numFmtId="227" fontId="45" fillId="0" borderId="0"/>
    <xf numFmtId="227" fontId="45" fillId="0" borderId="0"/>
    <xf numFmtId="170" fontId="80" fillId="0" borderId="0"/>
    <xf numFmtId="170" fontId="80" fillId="0" borderId="0"/>
    <xf numFmtId="170" fontId="80" fillId="0" borderId="0"/>
    <xf numFmtId="170" fontId="80" fillId="0" borderId="0"/>
    <xf numFmtId="170" fontId="80" fillId="0" borderId="0"/>
    <xf numFmtId="170" fontId="80" fillId="0" borderId="0"/>
    <xf numFmtId="170" fontId="80" fillId="0" borderId="0"/>
    <xf numFmtId="170" fontId="80" fillId="0" borderId="0"/>
    <xf numFmtId="170" fontId="80" fillId="0" borderId="0"/>
    <xf numFmtId="170" fontId="80" fillId="0" borderId="0"/>
    <xf numFmtId="210" fontId="6" fillId="0" borderId="0"/>
    <xf numFmtId="206" fontId="6" fillId="0" borderId="0"/>
    <xf numFmtId="210" fontId="6" fillId="0" borderId="0"/>
    <xf numFmtId="211" fontId="6" fillId="0" borderId="0"/>
    <xf numFmtId="206" fontId="6" fillId="0" borderId="0"/>
    <xf numFmtId="0" fontId="81" fillId="0" borderId="0">
      <alignment horizontal="left"/>
    </xf>
    <xf numFmtId="0" fontId="82" fillId="0" borderId="0"/>
    <xf numFmtId="0" fontId="14" fillId="0" borderId="0"/>
    <xf numFmtId="2" fontId="6" fillId="0" borderId="0"/>
    <xf numFmtId="0" fontId="15" fillId="7" borderId="0"/>
    <xf numFmtId="38" fontId="9" fillId="27" borderId="0"/>
    <xf numFmtId="228" fontId="41" fillId="4" borderId="0"/>
    <xf numFmtId="0" fontId="84" fillId="0" borderId="0">
      <alignment horizontal="left" vertical="center"/>
    </xf>
    <xf numFmtId="0" fontId="26" fillId="0" borderId="0">
      <alignment horizontal="left"/>
    </xf>
    <xf numFmtId="0" fontId="27" fillId="0" borderId="24">
      <alignment horizontal="left" vertical="center"/>
    </xf>
    <xf numFmtId="0" fontId="27" fillId="0" borderId="10">
      <alignment horizontal="left" vertical="center"/>
    </xf>
    <xf numFmtId="0" fontId="28" fillId="0" borderId="0"/>
    <xf numFmtId="0" fontId="27" fillId="0" borderId="0"/>
    <xf numFmtId="0" fontId="16" fillId="0" borderId="21"/>
    <xf numFmtId="0" fontId="16" fillId="0" borderId="0"/>
    <xf numFmtId="229" fontId="42" fillId="0" borderId="0">
      <protection locked="0"/>
    </xf>
    <xf numFmtId="229" fontId="42" fillId="0" borderId="0">
      <protection locked="0"/>
    </xf>
    <xf numFmtId="0" fontId="40" fillId="0" borderId="0"/>
    <xf numFmtId="176" fontId="45" fillId="0" borderId="0"/>
    <xf numFmtId="38" fontId="56" fillId="0" borderId="0"/>
    <xf numFmtId="177" fontId="39" fillId="0" borderId="0"/>
    <xf numFmtId="230" fontId="85" fillId="0" borderId="0"/>
    <xf numFmtId="10" fontId="9" fillId="27" borderId="1"/>
    <xf numFmtId="0" fontId="17" fillId="10" borderId="17"/>
    <xf numFmtId="0" fontId="17" fillId="10" borderId="17"/>
    <xf numFmtId="205" fontId="6" fillId="28" borderId="0"/>
    <xf numFmtId="176" fontId="45" fillId="0" borderId="0"/>
    <xf numFmtId="0" fontId="45" fillId="0" borderId="0"/>
    <xf numFmtId="0" fontId="6" fillId="0" borderId="0"/>
    <xf numFmtId="210" fontId="6" fillId="0" borderId="0"/>
    <xf numFmtId="206" fontId="6" fillId="0" borderId="0"/>
    <xf numFmtId="210" fontId="6" fillId="0" borderId="0"/>
    <xf numFmtId="211" fontId="6" fillId="0" borderId="0"/>
    <xf numFmtId="206" fontId="6" fillId="0" borderId="0"/>
    <xf numFmtId="0" fontId="18" fillId="0" borderId="25"/>
    <xf numFmtId="205" fontId="6" fillId="29" borderId="0"/>
    <xf numFmtId="3" fontId="3" fillId="0" borderId="10">
      <alignment horizontal="centerContinuous"/>
    </xf>
    <xf numFmtId="38" fontId="56" fillId="0" borderId="0"/>
    <xf numFmtId="40" fontId="56" fillId="0" borderId="0"/>
    <xf numFmtId="231" fontId="39" fillId="0" borderId="0"/>
    <xf numFmtId="232" fontId="39" fillId="0" borderId="0"/>
    <xf numFmtId="0" fontId="29" fillId="0" borderId="26"/>
    <xf numFmtId="0" fontId="6" fillId="0" borderId="0"/>
    <xf numFmtId="233" fontId="39" fillId="0" borderId="0"/>
    <xf numFmtId="234" fontId="56" fillId="0" borderId="0"/>
    <xf numFmtId="235" fontId="56" fillId="0" borderId="0"/>
    <xf numFmtId="14" fontId="6" fillId="0" borderId="0"/>
    <xf numFmtId="236" fontId="6" fillId="0" borderId="0"/>
    <xf numFmtId="0" fontId="43" fillId="0" borderId="0"/>
    <xf numFmtId="0" fontId="43" fillId="0" borderId="0"/>
    <xf numFmtId="0" fontId="19" fillId="30" borderId="0"/>
    <xf numFmtId="0" fontId="40" fillId="0" borderId="0"/>
    <xf numFmtId="37" fontId="87" fillId="0" borderId="0"/>
    <xf numFmtId="0" fontId="30" fillId="0" borderId="0"/>
    <xf numFmtId="0" fontId="88" fillId="0" borderId="1">
      <alignment horizontal="center"/>
    </xf>
    <xf numFmtId="0" fontId="31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73" fillId="0" borderId="0"/>
    <xf numFmtId="0" fontId="6" fillId="0" borderId="0"/>
    <xf numFmtId="0" fontId="6" fillId="0" borderId="0"/>
    <xf numFmtId="0" fontId="44" fillId="0" borderId="0"/>
    <xf numFmtId="0" fontId="44" fillId="0" borderId="0"/>
    <xf numFmtId="0" fontId="6" fillId="0" borderId="0"/>
    <xf numFmtId="0" fontId="45" fillId="0" borderId="0"/>
    <xf numFmtId="0" fontId="40" fillId="0" borderId="0"/>
    <xf numFmtId="0" fontId="2" fillId="0" borderId="0"/>
    <xf numFmtId="0" fontId="6" fillId="0" borderId="0"/>
    <xf numFmtId="0" fontId="6" fillId="0" borderId="0">
      <alignment vertical="top"/>
    </xf>
    <xf numFmtId="0" fontId="6" fillId="0" borderId="0"/>
    <xf numFmtId="0" fontId="45" fillId="0" borderId="0"/>
    <xf numFmtId="0" fontId="80" fillId="0" borderId="0"/>
    <xf numFmtId="0" fontId="6" fillId="26" borderId="23"/>
    <xf numFmtId="213" fontId="90" fillId="0" borderId="0">
      <alignment vertical="top" wrapText="1"/>
    </xf>
    <xf numFmtId="0" fontId="6" fillId="0" borderId="0"/>
    <xf numFmtId="0" fontId="40" fillId="0" borderId="0"/>
    <xf numFmtId="0" fontId="20" fillId="23" borderId="22"/>
    <xf numFmtId="14" fontId="68" fillId="0" borderId="0">
      <alignment horizontal="center" wrapText="1"/>
      <protection locked="0"/>
    </xf>
    <xf numFmtId="209" fontId="6" fillId="0" borderId="0"/>
    <xf numFmtId="237" fontId="6" fillId="0" borderId="0"/>
    <xf numFmtId="10" fontId="6" fillId="0" borderId="0"/>
    <xf numFmtId="9" fontId="6" fillId="0" borderId="0"/>
    <xf numFmtId="9" fontId="8" fillId="0" borderId="0"/>
    <xf numFmtId="9" fontId="35" fillId="0" borderId="0"/>
    <xf numFmtId="9" fontId="47" fillId="0" borderId="0"/>
    <xf numFmtId="9" fontId="8" fillId="0" borderId="0"/>
    <xf numFmtId="9" fontId="47" fillId="0" borderId="0"/>
    <xf numFmtId="9" fontId="3" fillId="0" borderId="0"/>
    <xf numFmtId="9" fontId="56" fillId="0" borderId="27"/>
    <xf numFmtId="210" fontId="6" fillId="0" borderId="0"/>
    <xf numFmtId="206" fontId="6" fillId="0" borderId="0"/>
    <xf numFmtId="210" fontId="6" fillId="0" borderId="0"/>
    <xf numFmtId="211" fontId="6" fillId="0" borderId="0"/>
    <xf numFmtId="206" fontId="6" fillId="0" borderId="0"/>
    <xf numFmtId="226" fontId="91" fillId="0" borderId="0"/>
    <xf numFmtId="0" fontId="56" fillId="0" borderId="0">
      <alignment horizontal="left"/>
    </xf>
    <xf numFmtId="238" fontId="6" fillId="0" borderId="0">
      <alignment horizontal="left"/>
    </xf>
    <xf numFmtId="177" fontId="39" fillId="0" borderId="0"/>
    <xf numFmtId="3" fontId="39" fillId="0" borderId="15">
      <alignment horizontal="right" wrapText="1"/>
    </xf>
    <xf numFmtId="4" fontId="92" fillId="31" borderId="28">
      <alignment vertical="center"/>
    </xf>
    <xf numFmtId="4" fontId="93" fillId="31" borderId="28">
      <alignment vertical="center"/>
    </xf>
    <xf numFmtId="4" fontId="94" fillId="31" borderId="28">
      <alignment horizontal="left" vertical="center"/>
    </xf>
    <xf numFmtId="4" fontId="94" fillId="32" borderId="0">
      <alignment horizontal="left" vertical="center"/>
    </xf>
    <xf numFmtId="4" fontId="94" fillId="33" borderId="28">
      <alignment horizontal="right" vertical="center"/>
    </xf>
    <xf numFmtId="4" fontId="94" fillId="34" borderId="28">
      <alignment horizontal="right" vertical="center"/>
    </xf>
    <xf numFmtId="4" fontId="94" fillId="35" borderId="28">
      <alignment horizontal="right" vertical="center"/>
    </xf>
    <xf numFmtId="4" fontId="94" fillId="36" borderId="28">
      <alignment horizontal="right" vertical="center"/>
    </xf>
    <xf numFmtId="4" fontId="94" fillId="37" borderId="28">
      <alignment horizontal="right" vertical="center"/>
    </xf>
    <xf numFmtId="4" fontId="94" fillId="4" borderId="28">
      <alignment horizontal="right" vertical="center"/>
    </xf>
    <xf numFmtId="4" fontId="94" fillId="38" borderId="28">
      <alignment horizontal="right" vertical="center"/>
    </xf>
    <xf numFmtId="4" fontId="94" fillId="39" borderId="28">
      <alignment horizontal="right" vertical="center"/>
    </xf>
    <xf numFmtId="4" fontId="94" fillId="40" borderId="28">
      <alignment horizontal="right" vertical="center"/>
    </xf>
    <xf numFmtId="4" fontId="92" fillId="41" borderId="29">
      <alignment horizontal="left" vertical="center"/>
    </xf>
    <xf numFmtId="4" fontId="92" fillId="42" borderId="0">
      <alignment horizontal="left" vertical="center"/>
    </xf>
    <xf numFmtId="4" fontId="92" fillId="32" borderId="0">
      <alignment horizontal="left" vertical="center"/>
    </xf>
    <xf numFmtId="4" fontId="94" fillId="42" borderId="28">
      <alignment horizontal="right" vertical="center"/>
    </xf>
    <xf numFmtId="4" fontId="77" fillId="42" borderId="0">
      <alignment horizontal="left" vertical="center"/>
    </xf>
    <xf numFmtId="4" fontId="77" fillId="32" borderId="0">
      <alignment horizontal="left" vertical="center"/>
    </xf>
    <xf numFmtId="4" fontId="94" fillId="43" borderId="28">
      <alignment vertical="center"/>
    </xf>
    <xf numFmtId="4" fontId="95" fillId="43" borderId="28">
      <alignment vertical="center"/>
    </xf>
    <xf numFmtId="4" fontId="92" fillId="42" borderId="30">
      <alignment horizontal="left" vertical="center"/>
    </xf>
    <xf numFmtId="4" fontId="94" fillId="43" borderId="28">
      <alignment horizontal="right" vertical="center"/>
    </xf>
    <xf numFmtId="4" fontId="95" fillId="43" borderId="28">
      <alignment horizontal="right" vertical="center"/>
    </xf>
    <xf numFmtId="4" fontId="92" fillId="42" borderId="28">
      <alignment horizontal="left" vertical="center"/>
    </xf>
    <xf numFmtId="4" fontId="96" fillId="44" borderId="30">
      <alignment horizontal="left" vertical="center"/>
    </xf>
    <xf numFmtId="4" fontId="97" fillId="43" borderId="28">
      <alignment horizontal="right" vertical="center"/>
    </xf>
    <xf numFmtId="0" fontId="98" fillId="0" borderId="0">
      <alignment vertical="top"/>
      <protection locked="0"/>
    </xf>
    <xf numFmtId="0" fontId="6" fillId="0" borderId="0"/>
    <xf numFmtId="0" fontId="23" fillId="0" borderId="0"/>
    <xf numFmtId="42" fontId="39" fillId="0" borderId="0"/>
    <xf numFmtId="172" fontId="39" fillId="0" borderId="0"/>
    <xf numFmtId="179" fontId="42" fillId="0" borderId="0"/>
    <xf numFmtId="179" fontId="39" fillId="0" borderId="0"/>
    <xf numFmtId="177" fontId="39" fillId="0" borderId="0"/>
    <xf numFmtId="176" fontId="39" fillId="0" borderId="0"/>
    <xf numFmtId="191" fontId="39" fillId="0" borderId="0"/>
    <xf numFmtId="191" fontId="39" fillId="0" borderId="0"/>
    <xf numFmtId="191" fontId="39" fillId="0" borderId="0"/>
    <xf numFmtId="191" fontId="39" fillId="0" borderId="0"/>
    <xf numFmtId="191" fontId="39" fillId="0" borderId="0"/>
    <xf numFmtId="191" fontId="39" fillId="0" borderId="0"/>
    <xf numFmtId="42" fontId="39" fillId="0" borderId="0"/>
    <xf numFmtId="172" fontId="39" fillId="0" borderId="0"/>
    <xf numFmtId="179" fontId="42" fillId="0" borderId="0"/>
    <xf numFmtId="179" fontId="39" fillId="0" borderId="0"/>
    <xf numFmtId="192" fontId="39" fillId="0" borderId="0"/>
    <xf numFmtId="195" fontId="39" fillId="0" borderId="0"/>
    <xf numFmtId="193" fontId="39" fillId="0" borderId="0"/>
    <xf numFmtId="192" fontId="39" fillId="0" borderId="0"/>
    <xf numFmtId="175" fontId="39" fillId="0" borderId="0"/>
    <xf numFmtId="177" fontId="39" fillId="0" borderId="0"/>
    <xf numFmtId="177" fontId="42" fillId="0" borderId="0"/>
    <xf numFmtId="194" fontId="39" fillId="0" borderId="0"/>
    <xf numFmtId="177" fontId="39" fillId="0" borderId="0"/>
    <xf numFmtId="177" fontId="39" fillId="0" borderId="0"/>
    <xf numFmtId="192" fontId="39" fillId="0" borderId="0"/>
    <xf numFmtId="192" fontId="39" fillId="0" borderId="0"/>
    <xf numFmtId="177" fontId="39" fillId="0" borderId="0"/>
    <xf numFmtId="192" fontId="39" fillId="0" borderId="0"/>
    <xf numFmtId="177" fontId="39" fillId="0" borderId="0"/>
    <xf numFmtId="197" fontId="39" fillId="0" borderId="0"/>
    <xf numFmtId="191" fontId="39" fillId="0" borderId="0"/>
    <xf numFmtId="181" fontId="39" fillId="0" borderId="0"/>
    <xf numFmtId="181" fontId="39" fillId="0" borderId="0"/>
    <xf numFmtId="179" fontId="42" fillId="0" borderId="0"/>
    <xf numFmtId="180" fontId="39" fillId="0" borderId="0"/>
    <xf numFmtId="181" fontId="39" fillId="0" borderId="0"/>
    <xf numFmtId="179" fontId="39" fillId="0" borderId="0"/>
    <xf numFmtId="172" fontId="39" fillId="0" borderId="0"/>
    <xf numFmtId="179" fontId="39" fillId="0" borderId="0"/>
    <xf numFmtId="190" fontId="39" fillId="0" borderId="0"/>
    <xf numFmtId="181" fontId="39" fillId="0" borderId="0"/>
    <xf numFmtId="177" fontId="39" fillId="0" borderId="0"/>
    <xf numFmtId="181" fontId="39" fillId="0" borderId="0"/>
    <xf numFmtId="179" fontId="42" fillId="0" borderId="0"/>
    <xf numFmtId="180" fontId="39" fillId="0" borderId="0"/>
    <xf numFmtId="181" fontId="39" fillId="0" borderId="0"/>
    <xf numFmtId="179" fontId="39" fillId="0" borderId="0"/>
    <xf numFmtId="172" fontId="39" fillId="0" borderId="0"/>
    <xf numFmtId="179" fontId="39" fillId="0" borderId="0"/>
    <xf numFmtId="190" fontId="39" fillId="0" borderId="0"/>
    <xf numFmtId="181" fontId="39" fillId="0" borderId="0"/>
    <xf numFmtId="181" fontId="39" fillId="0" borderId="0"/>
    <xf numFmtId="42" fontId="39" fillId="0" borderId="0"/>
    <xf numFmtId="179" fontId="42" fillId="0" borderId="0"/>
    <xf numFmtId="180" fontId="39" fillId="0" borderId="0"/>
    <xf numFmtId="181" fontId="39" fillId="0" borderId="0"/>
    <xf numFmtId="179" fontId="39" fillId="0" borderId="0"/>
    <xf numFmtId="172" fontId="39" fillId="0" borderId="0"/>
    <xf numFmtId="179" fontId="39" fillId="0" borderId="0"/>
    <xf numFmtId="190" fontId="39" fillId="0" borderId="0"/>
    <xf numFmtId="178" fontId="39" fillId="0" borderId="0"/>
    <xf numFmtId="42" fontId="39" fillId="0" borderId="0"/>
    <xf numFmtId="178" fontId="39" fillId="0" borderId="0"/>
    <xf numFmtId="172" fontId="39" fillId="0" borderId="0"/>
    <xf numFmtId="42" fontId="39" fillId="0" borderId="0"/>
    <xf numFmtId="42" fontId="39" fillId="0" borderId="0"/>
    <xf numFmtId="172" fontId="39" fillId="0" borderId="0"/>
    <xf numFmtId="179" fontId="42" fillId="0" borderId="0"/>
    <xf numFmtId="179" fontId="39" fillId="0" borderId="0"/>
    <xf numFmtId="178" fontId="39" fillId="0" borderId="0"/>
    <xf numFmtId="42" fontId="39" fillId="0" borderId="0"/>
    <xf numFmtId="178" fontId="39" fillId="0" borderId="0"/>
    <xf numFmtId="42" fontId="39" fillId="0" borderId="0"/>
    <xf numFmtId="42" fontId="39" fillId="0" borderId="0"/>
    <xf numFmtId="179" fontId="42" fillId="0" borderId="0"/>
    <xf numFmtId="172" fontId="39" fillId="0" borderId="0"/>
    <xf numFmtId="179" fontId="42" fillId="0" borderId="0"/>
    <xf numFmtId="179" fontId="39" fillId="0" borderId="0"/>
    <xf numFmtId="42" fontId="39" fillId="0" borderId="0"/>
    <xf numFmtId="179" fontId="39" fillId="0" borderId="0"/>
    <xf numFmtId="14" fontId="99" fillId="0" borderId="0"/>
    <xf numFmtId="0" fontId="29" fillId="0" borderId="0"/>
    <xf numFmtId="213" fontId="41" fillId="4" borderId="10">
      <alignment vertical="center"/>
    </xf>
    <xf numFmtId="40" fontId="100" fillId="0" borderId="0">
      <alignment horizontal="right"/>
    </xf>
    <xf numFmtId="0" fontId="101" fillId="0" borderId="0"/>
    <xf numFmtId="215" fontId="102" fillId="0" borderId="2">
      <alignment horizontal="right" vertical="center"/>
    </xf>
    <xf numFmtId="239" fontId="45" fillId="0" borderId="2">
      <alignment horizontal="right" vertical="center"/>
    </xf>
    <xf numFmtId="240" fontId="103" fillId="0" borderId="2">
      <alignment horizontal="right" vertical="center"/>
    </xf>
    <xf numFmtId="240" fontId="103" fillId="0" borderId="2">
      <alignment horizontal="right" vertical="center"/>
    </xf>
    <xf numFmtId="240" fontId="103" fillId="0" borderId="2">
      <alignment horizontal="right" vertical="center"/>
    </xf>
    <xf numFmtId="240" fontId="103" fillId="0" borderId="2">
      <alignment horizontal="right" vertical="center"/>
    </xf>
    <xf numFmtId="240" fontId="103" fillId="0" borderId="2">
      <alignment horizontal="right" vertical="center"/>
    </xf>
    <xf numFmtId="240" fontId="103" fillId="0" borderId="2">
      <alignment horizontal="right" vertical="center"/>
    </xf>
    <xf numFmtId="215" fontId="102" fillId="0" borderId="2">
      <alignment horizontal="right" vertical="center"/>
    </xf>
    <xf numFmtId="241" fontId="39" fillId="0" borderId="2">
      <alignment horizontal="right" vertical="center"/>
    </xf>
    <xf numFmtId="242" fontId="45" fillId="0" borderId="2">
      <alignment horizontal="right" vertical="center"/>
    </xf>
    <xf numFmtId="242" fontId="45" fillId="0" borderId="2">
      <alignment horizontal="right" vertical="center"/>
    </xf>
    <xf numFmtId="242" fontId="45" fillId="0" borderId="2">
      <alignment horizontal="right" vertical="center"/>
    </xf>
    <xf numFmtId="242" fontId="45" fillId="0" borderId="2">
      <alignment horizontal="right" vertical="center"/>
    </xf>
    <xf numFmtId="242" fontId="45" fillId="0" borderId="2">
      <alignment horizontal="right" vertical="center"/>
    </xf>
    <xf numFmtId="241" fontId="39" fillId="0" borderId="2">
      <alignment horizontal="right" vertical="center"/>
    </xf>
    <xf numFmtId="242" fontId="45" fillId="0" borderId="2">
      <alignment horizontal="right" vertical="center"/>
    </xf>
    <xf numFmtId="241" fontId="39" fillId="0" borderId="2">
      <alignment horizontal="right" vertical="center"/>
    </xf>
    <xf numFmtId="242" fontId="45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42" fontId="45" fillId="0" borderId="2">
      <alignment horizontal="right" vertical="center"/>
    </xf>
    <xf numFmtId="240" fontId="103" fillId="0" borderId="2">
      <alignment horizontal="right" vertical="center"/>
    </xf>
    <xf numFmtId="242" fontId="45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43" fontId="6" fillId="0" borderId="2">
      <alignment horizontal="right" vertical="center"/>
    </xf>
    <xf numFmtId="243" fontId="6" fillId="0" borderId="2">
      <alignment horizontal="right" vertical="center"/>
    </xf>
    <xf numFmtId="243" fontId="6" fillId="0" borderId="2">
      <alignment horizontal="right" vertical="center"/>
    </xf>
    <xf numFmtId="243" fontId="6" fillId="0" borderId="2">
      <alignment horizontal="right" vertical="center"/>
    </xf>
    <xf numFmtId="215" fontId="102" fillId="0" borderId="2">
      <alignment horizontal="right" vertical="center"/>
    </xf>
    <xf numFmtId="243" fontId="6" fillId="0" borderId="2">
      <alignment horizontal="right" vertical="center"/>
    </xf>
    <xf numFmtId="243" fontId="6" fillId="0" borderId="2">
      <alignment horizontal="right" vertical="center"/>
    </xf>
    <xf numFmtId="243" fontId="6" fillId="0" borderId="2">
      <alignment horizontal="right" vertical="center"/>
    </xf>
    <xf numFmtId="243" fontId="6" fillId="0" borderId="2">
      <alignment horizontal="right" vertical="center"/>
    </xf>
    <xf numFmtId="243" fontId="6" fillId="0" borderId="2">
      <alignment horizontal="right" vertical="center"/>
    </xf>
    <xf numFmtId="243" fontId="6" fillId="0" borderId="2">
      <alignment horizontal="right" vertical="center"/>
    </xf>
    <xf numFmtId="243" fontId="6" fillId="0" borderId="2">
      <alignment horizontal="right" vertical="center"/>
    </xf>
    <xf numFmtId="243" fontId="6" fillId="0" borderId="2">
      <alignment horizontal="right" vertical="center"/>
    </xf>
    <xf numFmtId="243" fontId="6" fillId="0" borderId="2">
      <alignment horizontal="right" vertical="center"/>
    </xf>
    <xf numFmtId="243" fontId="6" fillId="0" borderId="2">
      <alignment horizontal="right" vertical="center"/>
    </xf>
    <xf numFmtId="243" fontId="6" fillId="0" borderId="2">
      <alignment horizontal="right" vertical="center"/>
    </xf>
    <xf numFmtId="243" fontId="6" fillId="0" borderId="2">
      <alignment horizontal="right" vertical="center"/>
    </xf>
    <xf numFmtId="241" fontId="39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43" fontId="6" fillId="0" borderId="2">
      <alignment horizontal="right" vertical="center"/>
    </xf>
    <xf numFmtId="241" fontId="39" fillId="0" borderId="2">
      <alignment horizontal="right" vertical="center"/>
    </xf>
    <xf numFmtId="243" fontId="6" fillId="0" borderId="2">
      <alignment horizontal="right" vertical="center"/>
    </xf>
    <xf numFmtId="243" fontId="6" fillId="0" borderId="2">
      <alignment horizontal="right" vertical="center"/>
    </xf>
    <xf numFmtId="215" fontId="102" fillId="0" borderId="2">
      <alignment horizontal="right" vertical="center"/>
    </xf>
    <xf numFmtId="242" fontId="45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41" fontId="39" fillId="0" borderId="2">
      <alignment horizontal="right" vertical="center"/>
    </xf>
    <xf numFmtId="241" fontId="39" fillId="0" borderId="2">
      <alignment horizontal="right" vertical="center"/>
    </xf>
    <xf numFmtId="215" fontId="102" fillId="0" borderId="2">
      <alignment horizontal="right" vertical="center"/>
    </xf>
    <xf numFmtId="241" fontId="39" fillId="0" borderId="2">
      <alignment horizontal="right" vertical="center"/>
    </xf>
    <xf numFmtId="241" fontId="39" fillId="0" borderId="2">
      <alignment horizontal="right" vertical="center"/>
    </xf>
    <xf numFmtId="241" fontId="39" fillId="0" borderId="2">
      <alignment horizontal="right" vertical="center"/>
    </xf>
    <xf numFmtId="241" fontId="39" fillId="0" borderId="2">
      <alignment horizontal="right" vertical="center"/>
    </xf>
    <xf numFmtId="241" fontId="39" fillId="0" borderId="2">
      <alignment horizontal="right" vertical="center"/>
    </xf>
    <xf numFmtId="241" fontId="39" fillId="0" borderId="2">
      <alignment horizontal="right" vertical="center"/>
    </xf>
    <xf numFmtId="241" fontId="39" fillId="0" borderId="2">
      <alignment horizontal="right" vertical="center"/>
    </xf>
    <xf numFmtId="239" fontId="45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40" fontId="103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15" fontId="102" fillId="0" borderId="2">
      <alignment horizontal="right" vertical="center"/>
    </xf>
    <xf numFmtId="239" fontId="45" fillId="0" borderId="2">
      <alignment horizontal="right" vertical="center"/>
    </xf>
    <xf numFmtId="241" fontId="39" fillId="0" borderId="2">
      <alignment horizontal="right" vertical="center"/>
    </xf>
    <xf numFmtId="215" fontId="102" fillId="0" borderId="2">
      <alignment horizontal="right" vertical="center"/>
    </xf>
    <xf numFmtId="3" fontId="104" fillId="24" borderId="1">
      <alignment horizontal="justify" vertical="center"/>
    </xf>
    <xf numFmtId="49" fontId="77" fillId="0" borderId="0"/>
    <xf numFmtId="244" fontId="6" fillId="0" borderId="0"/>
    <xf numFmtId="245" fontId="6" fillId="0" borderId="0"/>
    <xf numFmtId="40" fontId="41" fillId="0" borderId="0"/>
    <xf numFmtId="0" fontId="21" fillId="0" borderId="0"/>
    <xf numFmtId="4" fontId="32" fillId="0" borderId="0">
      <alignment horizontal="left" indent="1"/>
    </xf>
    <xf numFmtId="0" fontId="6" fillId="0" borderId="31"/>
    <xf numFmtId="0" fontId="105" fillId="0" borderId="33">
      <alignment horizontal="center"/>
    </xf>
    <xf numFmtId="176" fontId="6" fillId="0" borderId="0"/>
    <xf numFmtId="246" fontId="6" fillId="0" borderId="0"/>
    <xf numFmtId="179" fontId="102" fillId="0" borderId="2">
      <alignment horizontal="center"/>
    </xf>
    <xf numFmtId="226" fontId="85" fillId="0" borderId="0"/>
    <xf numFmtId="171" fontId="6" fillId="0" borderId="0"/>
    <xf numFmtId="247" fontId="6" fillId="0" borderId="0"/>
    <xf numFmtId="248" fontId="102" fillId="0" borderId="0"/>
    <xf numFmtId="249" fontId="102" fillId="0" borderId="1"/>
    <xf numFmtId="0" fontId="32" fillId="0" borderId="0"/>
    <xf numFmtId="0" fontId="106" fillId="0" borderId="0"/>
    <xf numFmtId="0" fontId="79" fillId="0" borderId="0"/>
    <xf numFmtId="0" fontId="106" fillId="0" borderId="0"/>
    <xf numFmtId="5" fontId="35" fillId="0" borderId="4">
      <alignment horizontal="left" vertical="top"/>
    </xf>
    <xf numFmtId="0" fontId="36" fillId="0" borderId="4">
      <alignment horizontal="left" vertical="center"/>
    </xf>
    <xf numFmtId="0" fontId="33" fillId="45" borderId="1">
      <alignment horizontal="left" vertical="center"/>
    </xf>
    <xf numFmtId="5" fontId="34" fillId="0" borderId="11">
      <alignment horizontal="left" vertical="top"/>
    </xf>
    <xf numFmtId="250" fontId="79" fillId="0" borderId="0"/>
    <xf numFmtId="251" fontId="6" fillId="0" borderId="0"/>
    <xf numFmtId="42" fontId="80" fillId="0" borderId="0"/>
    <xf numFmtId="44" fontId="80" fillId="0" borderId="0"/>
    <xf numFmtId="0" fontId="22" fillId="0" borderId="0"/>
    <xf numFmtId="0" fontId="108" fillId="0" borderId="0"/>
    <xf numFmtId="176" fontId="45" fillId="0" borderId="0"/>
    <xf numFmtId="171" fontId="109" fillId="0" borderId="0"/>
    <xf numFmtId="252" fontId="109" fillId="0" borderId="0"/>
    <xf numFmtId="0" fontId="109" fillId="0" borderId="0"/>
    <xf numFmtId="0" fontId="132" fillId="0" borderId="0"/>
    <xf numFmtId="0" fontId="132" fillId="0" borderId="0"/>
    <xf numFmtId="0" fontId="7" fillId="0" borderId="0">
      <alignment vertical="center"/>
    </xf>
    <xf numFmtId="40" fontId="37" fillId="0" borderId="0"/>
    <xf numFmtId="38" fontId="37" fillId="0" borderId="0"/>
    <xf numFmtId="0" fontId="37" fillId="0" borderId="0"/>
    <xf numFmtId="0" fontId="37" fillId="0" borderId="0"/>
    <xf numFmtId="9" fontId="110" fillId="0" borderId="0"/>
    <xf numFmtId="0" fontId="38" fillId="0" borderId="0"/>
    <xf numFmtId="253" fontId="111" fillId="0" borderId="0"/>
    <xf numFmtId="254" fontId="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1" fillId="0" borderId="0"/>
    <xf numFmtId="0" fontId="31" fillId="0" borderId="0"/>
    <xf numFmtId="198" fontId="31" fillId="0" borderId="0"/>
    <xf numFmtId="255" fontId="31" fillId="0" borderId="0"/>
    <xf numFmtId="0" fontId="31" fillId="0" borderId="0"/>
    <xf numFmtId="0" fontId="116" fillId="0" borderId="0"/>
    <xf numFmtId="0" fontId="43" fillId="0" borderId="0"/>
    <xf numFmtId="0" fontId="112" fillId="30" borderId="0">
      <alignment vertical="center"/>
    </xf>
    <xf numFmtId="0" fontId="113" fillId="26" borderId="23">
      <alignment vertical="center"/>
    </xf>
    <xf numFmtId="176" fontId="46" fillId="0" borderId="0"/>
    <xf numFmtId="169" fontId="46" fillId="0" borderId="0"/>
    <xf numFmtId="0" fontId="114" fillId="0" borderId="32">
      <alignment vertical="center"/>
    </xf>
    <xf numFmtId="0" fontId="115" fillId="6" borderId="0">
      <alignment vertical="center"/>
    </xf>
    <xf numFmtId="0" fontId="117" fillId="7" borderId="0">
      <alignment vertical="center"/>
    </xf>
    <xf numFmtId="0" fontId="6" fillId="0" borderId="0"/>
    <xf numFmtId="170" fontId="6" fillId="0" borderId="0"/>
    <xf numFmtId="191" fontId="6" fillId="0" borderId="0"/>
    <xf numFmtId="199" fontId="67" fillId="0" borderId="0"/>
    <xf numFmtId="200" fontId="67" fillId="0" borderId="0"/>
    <xf numFmtId="0" fontId="6" fillId="0" borderId="0"/>
    <xf numFmtId="0" fontId="118" fillId="0" borderId="0">
      <alignment vertical="center"/>
    </xf>
    <xf numFmtId="0" fontId="119" fillId="0" borderId="19">
      <alignment vertical="center"/>
    </xf>
    <xf numFmtId="0" fontId="120" fillId="0" borderId="20">
      <alignment vertical="center"/>
    </xf>
    <xf numFmtId="0" fontId="121" fillId="0" borderId="21">
      <alignment vertical="center"/>
    </xf>
    <xf numFmtId="0" fontId="121" fillId="0" borderId="0">
      <alignment vertical="center"/>
    </xf>
    <xf numFmtId="0" fontId="122" fillId="25" borderId="18">
      <alignment vertical="center"/>
    </xf>
    <xf numFmtId="201" fontId="123" fillId="0" borderId="0"/>
    <xf numFmtId="173" fontId="123" fillId="0" borderId="0"/>
    <xf numFmtId="0" fontId="124" fillId="23" borderId="17">
      <alignment vertical="center"/>
    </xf>
    <xf numFmtId="0" fontId="125" fillId="0" borderId="0">
      <alignment vertical="center"/>
    </xf>
    <xf numFmtId="0" fontId="126" fillId="0" borderId="0">
      <alignment vertical="center"/>
    </xf>
    <xf numFmtId="171" fontId="46" fillId="0" borderId="0"/>
    <xf numFmtId="239" fontId="52" fillId="0" borderId="0"/>
    <xf numFmtId="252" fontId="46" fillId="0" borderId="0"/>
    <xf numFmtId="0" fontId="127" fillId="0" borderId="0">
      <alignment vertical="top"/>
      <protection locked="0"/>
    </xf>
    <xf numFmtId="0" fontId="65" fillId="19" borderId="0">
      <alignment vertical="center"/>
    </xf>
    <xf numFmtId="0" fontId="65" fillId="20" borderId="0">
      <alignment vertical="center"/>
    </xf>
    <xf numFmtId="0" fontId="65" fillId="21" borderId="0">
      <alignment vertical="center"/>
    </xf>
    <xf numFmtId="0" fontId="65" fillId="16" borderId="0">
      <alignment vertical="center"/>
    </xf>
    <xf numFmtId="0" fontId="65" fillId="17" borderId="0">
      <alignment vertical="center"/>
    </xf>
    <xf numFmtId="0" fontId="65" fillId="22" borderId="0">
      <alignment vertical="center"/>
    </xf>
    <xf numFmtId="0" fontId="128" fillId="10" borderId="17">
      <alignment vertical="center"/>
    </xf>
    <xf numFmtId="0" fontId="129" fillId="23" borderId="22">
      <alignment vertical="center"/>
    </xf>
    <xf numFmtId="44" fontId="6" fillId="0" borderId="0"/>
    <xf numFmtId="42" fontId="6" fillId="0" borderId="0"/>
    <xf numFmtId="0" fontId="130" fillId="0" borderId="25">
      <alignment vertical="center"/>
    </xf>
    <xf numFmtId="0" fontId="131" fillId="0" borderId="0">
      <alignment vertical="top"/>
      <protection locked="0"/>
    </xf>
    <xf numFmtId="0" fontId="3" fillId="0" borderId="0"/>
    <xf numFmtId="170" fontId="6" fillId="0" borderId="0"/>
    <xf numFmtId="9" fontId="6" fillId="0" borderId="0"/>
    <xf numFmtId="170" fontId="3" fillId="0" borderId="0"/>
    <xf numFmtId="0" fontId="2" fillId="0" borderId="0"/>
    <xf numFmtId="9" fontId="136" fillId="0" borderId="0"/>
    <xf numFmtId="170" fontId="2" fillId="0" borderId="0"/>
    <xf numFmtId="0" fontId="136" fillId="0" borderId="0"/>
    <xf numFmtId="9" fontId="6" fillId="0" borderId="0"/>
    <xf numFmtId="0" fontId="43" fillId="0" borderId="0"/>
    <xf numFmtId="170" fontId="43" fillId="0" borderId="0"/>
    <xf numFmtId="170" fontId="6" fillId="0" borderId="0"/>
    <xf numFmtId="0" fontId="43" fillId="0" borderId="0"/>
    <xf numFmtId="170" fontId="139" fillId="0" borderId="0"/>
    <xf numFmtId="0" fontId="7" fillId="0" borderId="0"/>
    <xf numFmtId="0" fontId="140" fillId="0" borderId="0">
      <alignment horizontal="centerContinuous" vertical="center"/>
    </xf>
    <xf numFmtId="256" fontId="6" fillId="0" borderId="0">
      <alignment vertical="top"/>
    </xf>
    <xf numFmtId="257" fontId="141" fillId="0" borderId="0">
      <alignment vertical="top"/>
    </xf>
    <xf numFmtId="228" fontId="142" fillId="24" borderId="0">
      <alignment vertical="center"/>
    </xf>
    <xf numFmtId="258" fontId="141" fillId="0" borderId="0">
      <alignment vertical="top"/>
    </xf>
    <xf numFmtId="0" fontId="6" fillId="0" borderId="0"/>
    <xf numFmtId="9" fontId="43" fillId="0" borderId="0"/>
    <xf numFmtId="258" fontId="143" fillId="46" borderId="0">
      <alignment horizontal="centerContinuous" vertical="center"/>
    </xf>
    <xf numFmtId="170" fontId="6" fillId="0" borderId="0"/>
    <xf numFmtId="258" fontId="137" fillId="0" borderId="0"/>
    <xf numFmtId="258" fontId="137" fillId="0" borderId="0"/>
    <xf numFmtId="258" fontId="143" fillId="46" borderId="0">
      <alignment horizontal="centerContinuous" vertical="center"/>
    </xf>
    <xf numFmtId="259" fontId="135" fillId="47" borderId="1">
      <alignment horizontal="centerContinuous" vertical="center" wrapText="1"/>
    </xf>
    <xf numFmtId="170" fontId="137" fillId="0" borderId="0"/>
    <xf numFmtId="38" fontId="56" fillId="0" borderId="0"/>
    <xf numFmtId="258" fontId="145" fillId="0" borderId="0"/>
    <xf numFmtId="9" fontId="137" fillId="0" borderId="0"/>
    <xf numFmtId="170" fontId="137" fillId="0" borderId="0"/>
    <xf numFmtId="0" fontId="2" fillId="0" borderId="0"/>
    <xf numFmtId="170" fontId="2" fillId="0" borderId="0"/>
    <xf numFmtId="0" fontId="144" fillId="0" borderId="4">
      <alignment horizontal="center" vertical="center" wrapText="1"/>
    </xf>
    <xf numFmtId="1" fontId="134" fillId="0" borderId="4">
      <alignment horizontal="center" vertical="center"/>
    </xf>
    <xf numFmtId="170" fontId="137" fillId="0" borderId="4">
      <alignment horizontal="center" vertical="center"/>
    </xf>
    <xf numFmtId="0" fontId="137" fillId="0" borderId="4">
      <alignment horizontal="center" vertical="center" wrapText="1"/>
    </xf>
    <xf numFmtId="0" fontId="146" fillId="0" borderId="4">
      <alignment horizontal="left" vertical="center" wrapText="1"/>
    </xf>
    <xf numFmtId="0" fontId="137" fillId="0" borderId="4">
      <alignment horizontal="left" vertical="center" wrapText="1" indent="1"/>
    </xf>
    <xf numFmtId="0" fontId="144" fillId="0" borderId="4">
      <alignment horizontal="left" vertical="center" wrapText="1"/>
    </xf>
    <xf numFmtId="0" fontId="147" fillId="0" borderId="4">
      <alignment horizontal="left" vertical="center" wrapText="1"/>
    </xf>
    <xf numFmtId="0" fontId="137" fillId="0" borderId="4">
      <alignment horizontal="left" vertical="center" wrapText="1" indent="2"/>
    </xf>
    <xf numFmtId="170" fontId="137" fillId="0" borderId="4">
      <alignment horizontal="right" vertical="center"/>
    </xf>
    <xf numFmtId="0" fontId="134" fillId="0" borderId="16">
      <alignment horizontal="center" vertical="center"/>
    </xf>
    <xf numFmtId="0" fontId="2" fillId="0" borderId="0"/>
    <xf numFmtId="0" fontId="2" fillId="0" borderId="0"/>
    <xf numFmtId="9" fontId="6" fillId="0" borderId="0"/>
    <xf numFmtId="170" fontId="6" fillId="0" borderId="0"/>
    <xf numFmtId="191" fontId="43" fillId="0" borderId="0"/>
    <xf numFmtId="38" fontId="56" fillId="0" borderId="0"/>
    <xf numFmtId="9" fontId="137" fillId="0" borderId="0"/>
    <xf numFmtId="170" fontId="137" fillId="0" borderId="0"/>
    <xf numFmtId="0" fontId="2" fillId="0" borderId="0"/>
    <xf numFmtId="258" fontId="137" fillId="0" borderId="0"/>
    <xf numFmtId="9" fontId="137" fillId="0" borderId="0"/>
    <xf numFmtId="258" fontId="137" fillId="0" borderId="0"/>
    <xf numFmtId="0" fontId="148" fillId="0" borderId="0"/>
    <xf numFmtId="170" fontId="6" fillId="0" borderId="0"/>
    <xf numFmtId="170" fontId="2" fillId="0" borderId="0"/>
    <xf numFmtId="0" fontId="2" fillId="0" borderId="0"/>
    <xf numFmtId="170" fontId="2" fillId="0" borderId="0"/>
    <xf numFmtId="0" fontId="2" fillId="0" borderId="0"/>
    <xf numFmtId="0" fontId="2" fillId="0" borderId="0"/>
    <xf numFmtId="170" fontId="2" fillId="0" borderId="0"/>
    <xf numFmtId="9" fontId="2" fillId="0" borderId="0"/>
    <xf numFmtId="0" fontId="136" fillId="0" borderId="0"/>
    <xf numFmtId="170" fontId="136" fillId="0" borderId="0"/>
    <xf numFmtId="170" fontId="136" fillId="0" borderId="0"/>
    <xf numFmtId="9" fontId="136" fillId="0" borderId="0"/>
    <xf numFmtId="0" fontId="43" fillId="0" borderId="0"/>
    <xf numFmtId="170" fontId="43" fillId="0" borderId="0"/>
    <xf numFmtId="0" fontId="43" fillId="0" borderId="0"/>
    <xf numFmtId="170" fontId="47" fillId="0" borderId="0"/>
    <xf numFmtId="0" fontId="43" fillId="0" borderId="0"/>
    <xf numFmtId="9" fontId="43" fillId="0" borderId="0"/>
    <xf numFmtId="170" fontId="6" fillId="0" borderId="0"/>
    <xf numFmtId="170" fontId="47" fillId="0" borderId="0"/>
    <xf numFmtId="170" fontId="43" fillId="0" borderId="0"/>
    <xf numFmtId="170" fontId="2" fillId="0" borderId="0"/>
    <xf numFmtId="260" fontId="6" fillId="0" borderId="0"/>
    <xf numFmtId="9" fontId="43" fillId="0" borderId="0"/>
    <xf numFmtId="9" fontId="43" fillId="0" borderId="0"/>
    <xf numFmtId="9" fontId="2" fillId="0" borderId="0"/>
    <xf numFmtId="0" fontId="149" fillId="0" borderId="0">
      <alignment vertical="top"/>
      <protection locked="0"/>
    </xf>
    <xf numFmtId="261" fontId="2" fillId="0" borderId="0"/>
    <xf numFmtId="0" fontId="2" fillId="0" borderId="0"/>
    <xf numFmtId="0" fontId="43" fillId="0" borderId="0"/>
    <xf numFmtId="0" fontId="43" fillId="0" borderId="0"/>
    <xf numFmtId="170" fontId="2" fillId="0" borderId="0"/>
    <xf numFmtId="0" fontId="6" fillId="0" borderId="0"/>
    <xf numFmtId="9" fontId="43" fillId="0" borderId="0"/>
    <xf numFmtId="9" fontId="43" fillId="0" borderId="0"/>
    <xf numFmtId="0" fontId="148" fillId="0" borderId="0"/>
    <xf numFmtId="170" fontId="6" fillId="0" borderId="0"/>
    <xf numFmtId="0" fontId="45" fillId="0" borderId="0"/>
    <xf numFmtId="0" fontId="2" fillId="0" borderId="0"/>
    <xf numFmtId="170" fontId="8" fillId="0" borderId="0"/>
    <xf numFmtId="0" fontId="3" fillId="0" borderId="0"/>
    <xf numFmtId="170" fontId="43" fillId="0" borderId="0"/>
    <xf numFmtId="0" fontId="2" fillId="0" borderId="0"/>
    <xf numFmtId="0" fontId="138" fillId="0" borderId="0"/>
    <xf numFmtId="170" fontId="3" fillId="0" borderId="0"/>
    <xf numFmtId="170" fontId="43" fillId="0" borderId="0"/>
    <xf numFmtId="0" fontId="6" fillId="0" borderId="0"/>
    <xf numFmtId="9" fontId="3" fillId="0" borderId="0"/>
    <xf numFmtId="170" fontId="2" fillId="0" borderId="0"/>
    <xf numFmtId="262" fontId="6" fillId="0" borderId="0"/>
    <xf numFmtId="0" fontId="2" fillId="0" borderId="0"/>
    <xf numFmtId="0" fontId="138" fillId="0" borderId="0"/>
    <xf numFmtId="170" fontId="2" fillId="0" borderId="0"/>
    <xf numFmtId="170" fontId="43" fillId="0" borderId="0"/>
    <xf numFmtId="9" fontId="2" fillId="0" borderId="0"/>
    <xf numFmtId="261" fontId="6" fillId="0" borderId="0"/>
    <xf numFmtId="170" fontId="148" fillId="0" borderId="0"/>
    <xf numFmtId="0" fontId="150" fillId="0" borderId="0"/>
    <xf numFmtId="9" fontId="14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43" fontId="2" fillId="0" borderId="0"/>
    <xf numFmtId="0" fontId="155" fillId="0" borderId="0"/>
  </cellStyleXfs>
  <cellXfs count="621">
    <xf numFmtId="0" fontId="0" fillId="0" borderId="0" xfId="0"/>
    <xf numFmtId="0" fontId="151" fillId="0" borderId="0" xfId="1394" applyFont="1" applyAlignment="1">
      <alignment horizontal="center" vertical="center"/>
    </xf>
    <xf numFmtId="0" fontId="159" fillId="0" borderId="51" xfId="1394" applyFont="1" applyBorder="1" applyAlignment="1">
      <alignment horizontal="center" vertical="center"/>
    </xf>
    <xf numFmtId="0" fontId="159" fillId="0" borderId="12" xfId="1394" applyFont="1" applyBorder="1" applyAlignment="1">
      <alignment horizontal="center" vertical="center"/>
    </xf>
    <xf numFmtId="0" fontId="159" fillId="0" borderId="12" xfId="1394" applyFont="1" applyBorder="1" applyAlignment="1">
      <alignment horizontal="left" vertical="center" wrapText="1" indent="2"/>
    </xf>
    <xf numFmtId="14" fontId="159" fillId="0" borderId="12" xfId="1394" applyNumberFormat="1" applyFont="1" applyBorder="1" applyAlignment="1">
      <alignment horizontal="center" vertical="center"/>
    </xf>
    <xf numFmtId="3" fontId="159" fillId="0" borderId="12" xfId="1394" applyNumberFormat="1" applyFont="1" applyBorder="1" applyAlignment="1">
      <alignment horizontal="center" vertical="center"/>
    </xf>
    <xf numFmtId="0" fontId="159" fillId="0" borderId="38" xfId="1394" applyFont="1" applyBorder="1" applyAlignment="1">
      <alignment horizontal="center" vertical="center"/>
    </xf>
    <xf numFmtId="0" fontId="159" fillId="0" borderId="1" xfId="1394" applyFont="1" applyBorder="1" applyAlignment="1">
      <alignment horizontal="center" vertical="center"/>
    </xf>
    <xf numFmtId="0" fontId="159" fillId="0" borderId="1" xfId="1394" applyFont="1" applyBorder="1" applyAlignment="1">
      <alignment horizontal="left" vertical="center" wrapText="1" indent="2"/>
    </xf>
    <xf numFmtId="14" fontId="159" fillId="0" borderId="1" xfId="1394" applyNumberFormat="1" applyFont="1" applyBorder="1" applyAlignment="1">
      <alignment horizontal="center" vertical="center"/>
    </xf>
    <xf numFmtId="3" fontId="159" fillId="0" borderId="1" xfId="1394" applyNumberFormat="1" applyFont="1" applyBorder="1" applyAlignment="1">
      <alignment horizontal="center" vertical="center"/>
    </xf>
    <xf numFmtId="3" fontId="154" fillId="48" borderId="58" xfId="0" applyNumberFormat="1" applyFont="1" applyFill="1" applyBorder="1" applyAlignment="1">
      <alignment horizontal="center" vertical="center"/>
    </xf>
    <xf numFmtId="0" fontId="151" fillId="0" borderId="0" xfId="0" applyFont="1" applyAlignment="1">
      <alignment horizontal="center" vertical="center"/>
    </xf>
    <xf numFmtId="0" fontId="153" fillId="0" borderId="1" xfId="0" applyFont="1" applyBorder="1" applyAlignment="1">
      <alignment horizontal="center" vertical="center"/>
    </xf>
    <xf numFmtId="0" fontId="152" fillId="0" borderId="1" xfId="0" applyFont="1" applyBorder="1" applyAlignment="1">
      <alignment horizontal="center" vertical="center"/>
    </xf>
    <xf numFmtId="0" fontId="151" fillId="0" borderId="61" xfId="0" applyFont="1" applyBorder="1" applyAlignment="1">
      <alignment horizontal="center" vertical="center"/>
    </xf>
    <xf numFmtId="0" fontId="151" fillId="0" borderId="7" xfId="0" applyFont="1" applyBorder="1" applyAlignment="1">
      <alignment horizontal="center" vertical="center"/>
    </xf>
    <xf numFmtId="3" fontId="151" fillId="0" borderId="7" xfId="0" applyNumberFormat="1" applyFont="1" applyBorder="1" applyAlignment="1">
      <alignment horizontal="center" vertical="center"/>
    </xf>
    <xf numFmtId="0" fontId="151" fillId="0" borderId="42" xfId="0" applyFont="1" applyBorder="1" applyAlignment="1">
      <alignment horizontal="center" vertical="center"/>
    </xf>
    <xf numFmtId="0" fontId="151" fillId="0" borderId="5" xfId="0" applyFont="1" applyBorder="1" applyAlignment="1">
      <alignment horizontal="center" vertical="center"/>
    </xf>
    <xf numFmtId="3" fontId="151" fillId="0" borderId="5" xfId="0" applyNumberFormat="1" applyFont="1" applyBorder="1" applyAlignment="1">
      <alignment horizontal="center" vertical="center"/>
    </xf>
    <xf numFmtId="0" fontId="151" fillId="0" borderId="64" xfId="0" applyFont="1" applyBorder="1" applyAlignment="1">
      <alignment horizontal="center" vertical="center"/>
    </xf>
    <xf numFmtId="0" fontId="151" fillId="0" borderId="14" xfId="0" applyFont="1" applyBorder="1" applyAlignment="1">
      <alignment horizontal="center" vertical="center"/>
    </xf>
    <xf numFmtId="0" fontId="151" fillId="0" borderId="6" xfId="0" applyFont="1" applyBorder="1" applyAlignment="1">
      <alignment horizontal="center" vertical="center"/>
    </xf>
    <xf numFmtId="0" fontId="161" fillId="0" borderId="0" xfId="0" applyFont="1" applyAlignment="1">
      <alignment vertical="center"/>
    </xf>
    <xf numFmtId="0" fontId="162" fillId="0" borderId="0" xfId="0" applyFont="1" applyAlignment="1">
      <alignment horizontal="left" vertical="center"/>
    </xf>
    <xf numFmtId="0" fontId="162" fillId="0" borderId="0" xfId="0" applyFont="1" applyAlignment="1">
      <alignment horizontal="center" vertical="center"/>
    </xf>
    <xf numFmtId="0" fontId="161" fillId="0" borderId="0" xfId="0" applyFont="1" applyAlignment="1">
      <alignment horizontal="center" vertical="center"/>
    </xf>
    <xf numFmtId="0" fontId="153" fillId="0" borderId="0" xfId="0" applyFont="1" applyAlignment="1">
      <alignment vertical="center"/>
    </xf>
    <xf numFmtId="0" fontId="163" fillId="0" borderId="0" xfId="0" applyFont="1" applyAlignment="1">
      <alignment horizontal="left" vertical="center" wrapText="1"/>
    </xf>
    <xf numFmtId="0" fontId="161" fillId="0" borderId="0" xfId="0" applyFont="1"/>
    <xf numFmtId="0" fontId="161" fillId="0" borderId="0" xfId="0" applyFont="1" applyAlignment="1">
      <alignment horizontal="center"/>
    </xf>
    <xf numFmtId="0" fontId="164" fillId="0" borderId="71" xfId="0" applyFont="1" applyBorder="1" applyAlignment="1">
      <alignment horizontal="center" vertical="center"/>
    </xf>
    <xf numFmtId="0" fontId="164" fillId="0" borderId="72" xfId="0" applyFont="1" applyBorder="1" applyAlignment="1">
      <alignment horizontal="center" vertical="center"/>
    </xf>
    <xf numFmtId="0" fontId="164" fillId="0" borderId="72" xfId="0" applyFont="1" applyBorder="1" applyAlignment="1">
      <alignment horizontal="center" vertical="center" wrapText="1"/>
    </xf>
    <xf numFmtId="0" fontId="164" fillId="0" borderId="73" xfId="0" applyFont="1" applyBorder="1" applyAlignment="1">
      <alignment horizontal="center" vertical="center"/>
    </xf>
    <xf numFmtId="0" fontId="164" fillId="0" borderId="61" xfId="0" applyFont="1" applyBorder="1" applyAlignment="1">
      <alignment horizontal="center" vertical="center"/>
    </xf>
    <xf numFmtId="0" fontId="164" fillId="0" borderId="7" xfId="0" applyFont="1" applyBorder="1" applyAlignment="1">
      <alignment horizontal="left" vertical="center" indent="1"/>
    </xf>
    <xf numFmtId="0" fontId="164" fillId="0" borderId="7" xfId="0" applyFont="1" applyBorder="1" applyAlignment="1">
      <alignment horizontal="center" vertical="center"/>
    </xf>
    <xf numFmtId="3" fontId="164" fillId="0" borderId="7" xfId="0" applyNumberFormat="1" applyFont="1" applyBorder="1" applyAlignment="1">
      <alignment horizontal="right" vertical="center"/>
    </xf>
    <xf numFmtId="164" fontId="164" fillId="0" borderId="7" xfId="1393" applyNumberFormat="1" applyFont="1" applyBorder="1" applyAlignment="1">
      <alignment horizontal="center" vertical="center"/>
    </xf>
    <xf numFmtId="0" fontId="164" fillId="0" borderId="39" xfId="0" applyFont="1" applyBorder="1" applyAlignment="1">
      <alignment horizontal="center" vertical="center"/>
    </xf>
    <xf numFmtId="3" fontId="164" fillId="0" borderId="0" xfId="0" applyNumberFormat="1" applyFont="1" applyAlignment="1">
      <alignment horizontal="center" vertical="center"/>
    </xf>
    <xf numFmtId="0" fontId="161" fillId="0" borderId="42" xfId="0" applyFont="1" applyBorder="1" applyAlignment="1">
      <alignment horizontal="center" vertical="center"/>
    </xf>
    <xf numFmtId="0" fontId="165" fillId="0" borderId="5" xfId="0" applyFont="1" applyBorder="1" applyAlignment="1">
      <alignment vertical="center"/>
    </xf>
    <xf numFmtId="0" fontId="165" fillId="0" borderId="5" xfId="0" applyFont="1" applyBorder="1" applyAlignment="1">
      <alignment horizontal="center" vertical="center"/>
    </xf>
    <xf numFmtId="3" fontId="161" fillId="0" borderId="5" xfId="0" applyNumberFormat="1" applyFont="1" applyBorder="1" applyAlignment="1">
      <alignment horizontal="right" vertical="center"/>
    </xf>
    <xf numFmtId="164" fontId="161" fillId="0" borderId="5" xfId="1393" applyNumberFormat="1" applyFont="1" applyBorder="1" applyAlignment="1">
      <alignment horizontal="center" vertical="center"/>
    </xf>
    <xf numFmtId="0" fontId="163" fillId="0" borderId="40" xfId="0" applyFont="1" applyBorder="1" applyAlignment="1">
      <alignment horizontal="left" vertical="center" wrapText="1"/>
    </xf>
    <xf numFmtId="3" fontId="161" fillId="0" borderId="0" xfId="0" applyNumberFormat="1" applyFont="1" applyAlignment="1">
      <alignment horizontal="center" vertical="center"/>
    </xf>
    <xf numFmtId="0" fontId="164" fillId="0" borderId="42" xfId="0" applyFont="1" applyBorder="1" applyAlignment="1">
      <alignment horizontal="center" vertical="center"/>
    </xf>
    <xf numFmtId="0" fontId="164" fillId="0" borderId="5" xfId="0" applyFont="1" applyBorder="1" applyAlignment="1">
      <alignment horizontal="left" vertical="center" indent="1"/>
    </xf>
    <xf numFmtId="0" fontId="164" fillId="0" borderId="5" xfId="0" applyFont="1" applyBorder="1" applyAlignment="1">
      <alignment horizontal="center" vertical="center"/>
    </xf>
    <xf numFmtId="3" fontId="164" fillId="0" borderId="5" xfId="0" applyNumberFormat="1" applyFont="1" applyBorder="1" applyAlignment="1">
      <alignment horizontal="right" vertical="center"/>
    </xf>
    <xf numFmtId="164" fontId="164" fillId="0" borderId="5" xfId="0" applyNumberFormat="1" applyFont="1" applyBorder="1" applyAlignment="1">
      <alignment horizontal="center" vertical="center"/>
    </xf>
    <xf numFmtId="0" fontId="166" fillId="0" borderId="40" xfId="0" applyFont="1" applyBorder="1" applyAlignment="1">
      <alignment horizontal="center" vertical="center" wrapText="1"/>
    </xf>
    <xf numFmtId="0" fontId="161" fillId="0" borderId="5" xfId="0" applyFont="1" applyBorder="1" applyAlignment="1">
      <alignment vertical="center" wrapText="1"/>
    </xf>
    <xf numFmtId="0" fontId="161" fillId="0" borderId="5" xfId="0" applyFont="1" applyBorder="1" applyAlignment="1">
      <alignment horizontal="center" vertical="center"/>
    </xf>
    <xf numFmtId="0" fontId="167" fillId="0" borderId="40" xfId="0" applyFont="1" applyBorder="1" applyAlignment="1">
      <alignment vertical="center" wrapText="1"/>
    </xf>
    <xf numFmtId="0" fontId="166" fillId="0" borderId="40" xfId="0" applyFont="1" applyBorder="1" applyAlignment="1">
      <alignment vertical="center" wrapText="1"/>
    </xf>
    <xf numFmtId="3" fontId="161" fillId="0" borderId="5" xfId="1393" applyNumberFormat="1" applyFont="1" applyBorder="1" applyAlignment="1">
      <alignment horizontal="right" vertical="center"/>
    </xf>
    <xf numFmtId="0" fontId="165" fillId="0" borderId="5" xfId="0" applyFont="1" applyBorder="1" applyAlignment="1">
      <alignment vertical="center" wrapText="1"/>
    </xf>
    <xf numFmtId="0" fontId="164" fillId="0" borderId="40" xfId="0" applyFont="1" applyBorder="1" applyAlignment="1">
      <alignment horizontal="center" vertical="center"/>
    </xf>
    <xf numFmtId="0" fontId="161" fillId="0" borderId="5" xfId="0" applyFont="1" applyBorder="1" applyAlignment="1">
      <alignment vertical="center"/>
    </xf>
    <xf numFmtId="164" fontId="161" fillId="0" borderId="5" xfId="0" applyNumberFormat="1" applyFont="1" applyBorder="1" applyAlignment="1">
      <alignment horizontal="center" vertical="center"/>
    </xf>
    <xf numFmtId="0" fontId="161" fillId="0" borderId="40" xfId="0" applyFont="1" applyBorder="1" applyAlignment="1">
      <alignment horizontal="center" vertical="center"/>
    </xf>
    <xf numFmtId="0" fontId="163" fillId="0" borderId="5" xfId="0" applyFont="1" applyBorder="1" applyAlignment="1">
      <alignment vertical="center"/>
    </xf>
    <xf numFmtId="0" fontId="163" fillId="0" borderId="5" xfId="0" applyFont="1" applyBorder="1" applyAlignment="1">
      <alignment horizontal="center" vertical="center"/>
    </xf>
    <xf numFmtId="3" fontId="163" fillId="0" borderId="5" xfId="0" applyNumberFormat="1" applyFont="1" applyBorder="1" applyAlignment="1">
      <alignment horizontal="right" vertical="center"/>
    </xf>
    <xf numFmtId="164" fontId="163" fillId="0" borderId="5" xfId="0" applyNumberFormat="1" applyFont="1" applyBorder="1" applyAlignment="1">
      <alignment horizontal="center" vertical="center"/>
    </xf>
    <xf numFmtId="0" fontId="161" fillId="0" borderId="14" xfId="0" applyFont="1" applyBorder="1" applyAlignment="1">
      <alignment vertical="center"/>
    </xf>
    <xf numFmtId="0" fontId="163" fillId="0" borderId="53" xfId="0" applyFont="1" applyBorder="1" applyAlignment="1">
      <alignment horizontal="left" vertical="center" wrapText="1"/>
    </xf>
    <xf numFmtId="3" fontId="168" fillId="0" borderId="5" xfId="0" applyNumberFormat="1" applyFont="1" applyBorder="1" applyAlignment="1">
      <alignment horizontal="left" vertical="center" wrapText="1" indent="1"/>
    </xf>
    <xf numFmtId="0" fontId="161" fillId="0" borderId="39" xfId="0" applyFont="1" applyBorder="1" applyAlignment="1">
      <alignment horizontal="center" vertical="center"/>
    </xf>
    <xf numFmtId="0" fontId="164" fillId="0" borderId="5" xfId="0" applyFont="1" applyBorder="1" applyAlignment="1">
      <alignment vertical="center"/>
    </xf>
    <xf numFmtId="0" fontId="164" fillId="0" borderId="43" xfId="0" applyFont="1" applyBorder="1" applyAlignment="1">
      <alignment horizontal="center" vertical="center"/>
    </xf>
    <xf numFmtId="3" fontId="164" fillId="0" borderId="44" xfId="0" applyNumberFormat="1" applyFont="1" applyBorder="1" applyAlignment="1">
      <alignment vertical="center"/>
    </xf>
    <xf numFmtId="43" fontId="164" fillId="0" borderId="44" xfId="0" applyNumberFormat="1" applyFont="1" applyBorder="1" applyAlignment="1">
      <alignment horizontal="center" vertical="center"/>
    </xf>
    <xf numFmtId="0" fontId="161" fillId="0" borderId="41" xfId="0" applyFont="1" applyBorder="1" applyAlignment="1">
      <alignment horizontal="center" vertical="center"/>
    </xf>
    <xf numFmtId="167" fontId="161" fillId="0" borderId="0" xfId="1393" applyNumberFormat="1" applyFont="1" applyAlignment="1">
      <alignment horizontal="center" vertical="center"/>
    </xf>
    <xf numFmtId="0" fontId="159" fillId="0" borderId="0" xfId="0" applyFont="1" applyAlignment="1">
      <alignment horizontal="center" vertical="center" wrapText="1"/>
    </xf>
    <xf numFmtId="0" fontId="157" fillId="0" borderId="0" xfId="0" applyFont="1" applyAlignment="1">
      <alignment horizontal="left" vertical="center"/>
    </xf>
    <xf numFmtId="0" fontId="159" fillId="0" borderId="0" xfId="0" applyFont="1" applyAlignment="1">
      <alignment horizontal="left" vertical="center" wrapText="1" indent="1"/>
    </xf>
    <xf numFmtId="0" fontId="158" fillId="0" borderId="0" xfId="0" applyFont="1" applyAlignment="1">
      <alignment horizontal="left" vertical="center"/>
    </xf>
    <xf numFmtId="0" fontId="156" fillId="3" borderId="56" xfId="0" applyFont="1" applyFill="1" applyBorder="1" applyAlignment="1">
      <alignment horizontal="center" vertical="center" wrapText="1"/>
    </xf>
    <xf numFmtId="0" fontId="156" fillId="3" borderId="57" xfId="0" applyFont="1" applyFill="1" applyBorder="1" applyAlignment="1">
      <alignment horizontal="center" vertical="center" wrapText="1"/>
    </xf>
    <xf numFmtId="0" fontId="156" fillId="0" borderId="0" xfId="0" applyFont="1" applyAlignment="1">
      <alignment horizontal="center" vertical="center" wrapText="1"/>
    </xf>
    <xf numFmtId="0" fontId="156" fillId="3" borderId="77" xfId="0" applyFont="1" applyFill="1" applyBorder="1" applyAlignment="1">
      <alignment horizontal="center" vertical="center" wrapText="1"/>
    </xf>
    <xf numFmtId="0" fontId="156" fillId="3" borderId="75" xfId="0" applyFont="1" applyFill="1" applyBorder="1" applyAlignment="1">
      <alignment horizontal="center" vertical="center" wrapText="1"/>
    </xf>
    <xf numFmtId="0" fontId="156" fillId="3" borderId="4" xfId="0" applyFont="1" applyFill="1" applyBorder="1" applyAlignment="1">
      <alignment horizontal="center" vertical="center" wrapText="1"/>
    </xf>
    <xf numFmtId="0" fontId="156" fillId="2" borderId="74" xfId="0" applyFont="1" applyFill="1" applyBorder="1" applyAlignment="1">
      <alignment horizontal="center" vertical="center" wrapText="1"/>
    </xf>
    <xf numFmtId="0" fontId="159" fillId="0" borderId="51" xfId="0" applyFont="1" applyBorder="1" applyAlignment="1">
      <alignment horizontal="center" vertical="center" wrapText="1"/>
    </xf>
    <xf numFmtId="0" fontId="159" fillId="0" borderId="54" xfId="0" applyFont="1" applyBorder="1" applyAlignment="1">
      <alignment horizontal="center" vertical="center" wrapText="1"/>
    </xf>
    <xf numFmtId="0" fontId="159" fillId="0" borderId="12" xfId="0" applyFont="1" applyBorder="1" applyAlignment="1">
      <alignment horizontal="left" vertical="center" wrapText="1"/>
    </xf>
    <xf numFmtId="0" fontId="159" fillId="0" borderId="12" xfId="0" applyFont="1" applyBorder="1" applyAlignment="1">
      <alignment horizontal="center" vertical="center" wrapText="1"/>
    </xf>
    <xf numFmtId="168" fontId="159" fillId="0" borderId="12" xfId="0" applyNumberFormat="1" applyFont="1" applyBorder="1" applyAlignment="1">
      <alignment horizontal="center" vertical="center" wrapText="1"/>
    </xf>
    <xf numFmtId="3" fontId="159" fillId="0" borderId="12" xfId="1" applyNumberFormat="1" applyFont="1" applyBorder="1" applyAlignment="1">
      <alignment horizontal="center" vertical="center" wrapText="1"/>
    </xf>
    <xf numFmtId="3" fontId="159" fillId="0" borderId="12" xfId="0" applyNumberFormat="1" applyFont="1" applyBorder="1" applyAlignment="1">
      <alignment horizontal="center" vertical="center" wrapText="1"/>
    </xf>
    <xf numFmtId="3" fontId="159" fillId="0" borderId="16" xfId="0" applyNumberFormat="1" applyFont="1" applyBorder="1" applyAlignment="1">
      <alignment horizontal="center" vertical="center" wrapText="1"/>
    </xf>
    <xf numFmtId="0" fontId="159" fillId="0" borderId="38" xfId="0" applyFont="1" applyBorder="1" applyAlignment="1">
      <alignment horizontal="center" vertical="center" wrapText="1"/>
    </xf>
    <xf numFmtId="0" fontId="159" fillId="0" borderId="3" xfId="0" applyFont="1" applyBorder="1" applyAlignment="1">
      <alignment horizontal="center" vertical="center" wrapText="1"/>
    </xf>
    <xf numFmtId="0" fontId="159" fillId="0" borderId="1" xfId="0" applyFont="1" applyBorder="1" applyAlignment="1">
      <alignment horizontal="left" vertical="center" wrapText="1"/>
    </xf>
    <xf numFmtId="0" fontId="159" fillId="0" borderId="1" xfId="0" applyFont="1" applyBorder="1" applyAlignment="1">
      <alignment horizontal="center" vertical="center" wrapText="1"/>
    </xf>
    <xf numFmtId="168" fontId="159" fillId="0" borderId="1" xfId="0" applyNumberFormat="1" applyFont="1" applyBorder="1" applyAlignment="1">
      <alignment horizontal="center" vertical="center" wrapText="1"/>
    </xf>
    <xf numFmtId="3" fontId="159" fillId="0" borderId="1" xfId="1" applyNumberFormat="1" applyFont="1" applyBorder="1" applyAlignment="1">
      <alignment horizontal="center" vertical="center" wrapText="1"/>
    </xf>
    <xf numFmtId="3" fontId="159" fillId="0" borderId="1" xfId="0" applyNumberFormat="1" applyFont="1" applyBorder="1" applyAlignment="1">
      <alignment horizontal="center" vertical="center" wrapText="1"/>
    </xf>
    <xf numFmtId="0" fontId="169" fillId="0" borderId="49" xfId="0" applyFont="1" applyBorder="1" applyAlignment="1">
      <alignment horizontal="left" vertical="center" wrapText="1" indent="1"/>
    </xf>
    <xf numFmtId="0" fontId="159" fillId="0" borderId="3" xfId="0" applyFont="1" applyBorder="1" applyAlignment="1">
      <alignment horizontal="left" vertical="center" wrapText="1" indent="3"/>
    </xf>
    <xf numFmtId="0" fontId="159" fillId="0" borderId="1" xfId="0" applyFont="1" applyBorder="1" applyAlignment="1">
      <alignment horizontal="left" vertical="center" wrapText="1" indent="3"/>
    </xf>
    <xf numFmtId="0" fontId="159" fillId="0" borderId="16" xfId="0" applyFont="1" applyBorder="1" applyAlignment="1">
      <alignment horizontal="left" vertical="center" wrapText="1" indent="3"/>
    </xf>
    <xf numFmtId="0" fontId="159" fillId="0" borderId="49" xfId="0" applyFont="1" applyBorder="1" applyAlignment="1">
      <alignment horizontal="left" vertical="center" wrapText="1" indent="4"/>
    </xf>
    <xf numFmtId="0" fontId="159" fillId="0" borderId="38" xfId="0" applyFont="1" applyBorder="1" applyAlignment="1">
      <alignment horizontal="left" vertical="center" wrapText="1" indent="3"/>
    </xf>
    <xf numFmtId="14" fontId="159" fillId="0" borderId="1" xfId="0" applyNumberFormat="1" applyFont="1" applyBorder="1" applyAlignment="1">
      <alignment horizontal="center" vertical="center" wrapText="1"/>
    </xf>
    <xf numFmtId="3" fontId="159" fillId="0" borderId="1" xfId="0" applyNumberFormat="1" applyFont="1" applyBorder="1" applyAlignment="1">
      <alignment horizontal="left" vertical="center" wrapText="1" indent="3"/>
    </xf>
    <xf numFmtId="3" fontId="159" fillId="0" borderId="16" xfId="0" applyNumberFormat="1" applyFont="1" applyBorder="1" applyAlignment="1">
      <alignment horizontal="left" vertical="center" wrapText="1" indent="3"/>
    </xf>
    <xf numFmtId="3" fontId="170" fillId="2" borderId="48" xfId="0" applyNumberFormat="1" applyFont="1" applyFill="1" applyBorder="1" applyAlignment="1">
      <alignment horizontal="center" vertical="center" wrapText="1"/>
    </xf>
    <xf numFmtId="10" fontId="170" fillId="2" borderId="48" xfId="0" applyNumberFormat="1" applyFont="1" applyFill="1" applyBorder="1" applyAlignment="1">
      <alignment horizontal="center" vertical="center" wrapText="1"/>
    </xf>
    <xf numFmtId="0" fontId="170" fillId="0" borderId="0" xfId="0" applyFont="1" applyAlignment="1">
      <alignment horizontal="center" vertical="center" wrapText="1"/>
    </xf>
    <xf numFmtId="3" fontId="170" fillId="0" borderId="0" xfId="0" applyNumberFormat="1" applyFont="1" applyAlignment="1">
      <alignment horizontal="center" vertical="center" wrapText="1"/>
    </xf>
    <xf numFmtId="3" fontId="171" fillId="0" borderId="0" xfId="0" applyNumberFormat="1" applyFont="1" applyAlignment="1">
      <alignment horizontal="center" vertical="center" wrapText="1"/>
    </xf>
    <xf numFmtId="3" fontId="159" fillId="0" borderId="0" xfId="0" applyNumberFormat="1" applyFont="1" applyAlignment="1">
      <alignment horizontal="center" vertical="center" wrapText="1"/>
    </xf>
    <xf numFmtId="0" fontId="159" fillId="0" borderId="0" xfId="0" applyFont="1" applyAlignment="1">
      <alignment horizontal="right" vertical="center"/>
    </xf>
    <xf numFmtId="0" fontId="159" fillId="0" borderId="0" xfId="0" applyFont="1" applyAlignment="1">
      <alignment vertical="center" wrapText="1"/>
    </xf>
    <xf numFmtId="3" fontId="159" fillId="2" borderId="16" xfId="0" applyNumberFormat="1" applyFont="1" applyFill="1" applyBorder="1" applyAlignment="1">
      <alignment horizontal="center" vertical="center" wrapText="1"/>
    </xf>
    <xf numFmtId="10" fontId="159" fillId="2" borderId="16" xfId="0" applyNumberFormat="1" applyFont="1" applyFill="1" applyBorder="1" applyAlignment="1">
      <alignment horizontal="center" vertical="center" wrapText="1"/>
    </xf>
    <xf numFmtId="3" fontId="159" fillId="2" borderId="16" xfId="0" applyNumberFormat="1" applyFont="1" applyFill="1" applyBorder="1" applyAlignment="1">
      <alignment horizontal="left" vertical="center" wrapText="1" indent="3"/>
    </xf>
    <xf numFmtId="3" fontId="170" fillId="0" borderId="47" xfId="0" applyNumberFormat="1" applyFont="1" applyBorder="1" applyAlignment="1">
      <alignment horizontal="center" vertical="center" wrapText="1"/>
    </xf>
    <xf numFmtId="3" fontId="170" fillId="0" borderId="48" xfId="0" applyNumberFormat="1" applyFont="1" applyBorder="1" applyAlignment="1">
      <alignment horizontal="center" vertical="center" wrapText="1"/>
    </xf>
    <xf numFmtId="0" fontId="159" fillId="0" borderId="50" xfId="0" applyFont="1" applyBorder="1" applyAlignment="1">
      <alignment horizontal="left" vertical="center" wrapText="1" indent="1"/>
    </xf>
    <xf numFmtId="10" fontId="159" fillId="2" borderId="16" xfId="0" applyNumberFormat="1" applyFont="1" applyFill="1" applyBorder="1" applyAlignment="1">
      <alignment horizontal="center" vertical="center" wrapText="1" indent="3"/>
    </xf>
    <xf numFmtId="0" fontId="156" fillId="52" borderId="47" xfId="1394" applyFont="1" applyFill="1" applyBorder="1" applyAlignment="1">
      <alignment horizontal="center" vertical="center" wrapText="1"/>
    </xf>
    <xf numFmtId="3" fontId="159" fillId="52" borderId="12" xfId="1394" applyNumberFormat="1" applyFont="1" applyFill="1" applyBorder="1" applyAlignment="1">
      <alignment horizontal="center" vertical="center"/>
    </xf>
    <xf numFmtId="3" fontId="159" fillId="52" borderId="1" xfId="1394" applyNumberFormat="1" applyFont="1" applyFill="1" applyBorder="1" applyAlignment="1">
      <alignment horizontal="center" vertical="center"/>
    </xf>
    <xf numFmtId="0" fontId="156" fillId="3" borderId="78" xfId="1394" applyFont="1" applyFill="1" applyBorder="1" applyAlignment="1">
      <alignment horizontal="center" vertical="center" wrapText="1"/>
    </xf>
    <xf numFmtId="0" fontId="156" fillId="3" borderId="47" xfId="1394" applyFont="1" applyFill="1" applyBorder="1" applyAlignment="1">
      <alignment horizontal="center" vertical="center" wrapText="1"/>
    </xf>
    <xf numFmtId="10" fontId="159" fillId="0" borderId="1" xfId="1394" applyNumberFormat="1" applyFont="1" applyBorder="1" applyAlignment="1">
      <alignment horizontal="center" vertical="center" wrapText="1"/>
    </xf>
    <xf numFmtId="10" fontId="159" fillId="0" borderId="12" xfId="1394" applyNumberFormat="1" applyFont="1" applyBorder="1" applyAlignment="1">
      <alignment horizontal="center" vertical="center" wrapText="1"/>
    </xf>
    <xf numFmtId="0" fontId="152" fillId="3" borderId="47" xfId="1394" applyFont="1" applyFill="1" applyBorder="1" applyAlignment="1">
      <alignment horizontal="center" vertical="center" wrapText="1"/>
    </xf>
    <xf numFmtId="0" fontId="152" fillId="3" borderId="50" xfId="1394" applyFont="1" applyFill="1" applyBorder="1" applyAlignment="1">
      <alignment horizontal="center" vertical="center" wrapText="1"/>
    </xf>
    <xf numFmtId="0" fontId="152" fillId="0" borderId="1" xfId="0" applyFont="1" applyBorder="1" applyAlignment="1">
      <alignment horizontal="center" vertical="center" wrapText="1"/>
    </xf>
    <xf numFmtId="3" fontId="151" fillId="0" borderId="12" xfId="1394" applyNumberFormat="1" applyFont="1" applyBorder="1" applyAlignment="1">
      <alignment horizontal="center" vertical="center"/>
    </xf>
    <xf numFmtId="3" fontId="151" fillId="0" borderId="1" xfId="1394" applyNumberFormat="1" applyFont="1" applyBorder="1" applyAlignment="1">
      <alignment horizontal="center" vertical="center"/>
    </xf>
    <xf numFmtId="0" fontId="156" fillId="52" borderId="48" xfId="1394" applyFont="1" applyFill="1" applyBorder="1" applyAlignment="1">
      <alignment horizontal="center" vertical="center" wrapText="1"/>
    </xf>
    <xf numFmtId="3" fontId="159" fillId="0" borderId="38" xfId="1394" applyNumberFormat="1" applyFont="1" applyBorder="1" applyAlignment="1">
      <alignment horizontal="center" vertical="center"/>
    </xf>
    <xf numFmtId="3" fontId="159" fillId="0" borderId="51" xfId="1394" applyNumberFormat="1" applyFont="1" applyBorder="1" applyAlignment="1">
      <alignment horizontal="center" vertical="center"/>
    </xf>
    <xf numFmtId="0" fontId="151" fillId="3" borderId="82" xfId="1394" applyFont="1" applyFill="1" applyBorder="1" applyAlignment="1">
      <alignment horizontal="center" vertical="center"/>
    </xf>
    <xf numFmtId="3" fontId="159" fillId="52" borderId="16" xfId="1394" applyNumberFormat="1" applyFont="1" applyFill="1" applyBorder="1" applyAlignment="1">
      <alignment horizontal="center" vertical="center"/>
    </xf>
    <xf numFmtId="3" fontId="159" fillId="52" borderId="2" xfId="1394" applyNumberFormat="1" applyFont="1" applyFill="1" applyBorder="1" applyAlignment="1">
      <alignment horizontal="center" vertical="center"/>
    </xf>
    <xf numFmtId="0" fontId="172" fillId="0" borderId="52" xfId="1394" applyFont="1" applyBorder="1" applyAlignment="1">
      <alignment horizontal="left" vertical="center" wrapText="1" indent="1"/>
    </xf>
    <xf numFmtId="0" fontId="151" fillId="0" borderId="13" xfId="0" applyFont="1" applyBorder="1" applyAlignment="1">
      <alignment horizontal="center" vertical="center"/>
    </xf>
    <xf numFmtId="0" fontId="156" fillId="0" borderId="0" xfId="0" applyFont="1" applyAlignment="1">
      <alignment horizontal="right" vertical="center"/>
    </xf>
    <xf numFmtId="0" fontId="169" fillId="0" borderId="52" xfId="0" applyFont="1" applyBorder="1" applyAlignment="1">
      <alignment horizontal="left" vertical="center" wrapText="1" indent="1"/>
    </xf>
    <xf numFmtId="164" fontId="161" fillId="0" borderId="0" xfId="1" applyNumberFormat="1" applyFont="1" applyAlignment="1">
      <alignment horizontal="center" vertical="center"/>
    </xf>
    <xf numFmtId="164" fontId="165" fillId="0" borderId="0" xfId="1" applyNumberFormat="1" applyFont="1" applyAlignment="1">
      <alignment horizontal="center" vertical="center"/>
    </xf>
    <xf numFmtId="164" fontId="161" fillId="0" borderId="0" xfId="1" applyNumberFormat="1" applyFont="1"/>
    <xf numFmtId="0" fontId="157" fillId="0" borderId="0" xfId="11" applyFont="1" applyAlignment="1">
      <alignment horizontal="left" vertical="center" indent="5"/>
    </xf>
    <xf numFmtId="164" fontId="173" fillId="0" borderId="0" xfId="1" applyNumberFormat="1" applyFont="1" applyAlignment="1">
      <alignment horizontal="left" indent="5"/>
    </xf>
    <xf numFmtId="0" fontId="173" fillId="0" borderId="0" xfId="0" applyFont="1" applyAlignment="1">
      <alignment horizontal="left" indent="5"/>
    </xf>
    <xf numFmtId="0" fontId="174" fillId="0" borderId="0" xfId="0" applyFont="1" applyAlignment="1">
      <alignment horizontal="left" vertical="center" indent="5"/>
    </xf>
    <xf numFmtId="164" fontId="175" fillId="0" borderId="0" xfId="1" applyNumberFormat="1" applyFont="1" applyAlignment="1">
      <alignment horizontal="left" vertical="center" indent="5"/>
    </xf>
    <xf numFmtId="0" fontId="175" fillId="0" borderId="0" xfId="0" applyFont="1" applyAlignment="1">
      <alignment horizontal="left" vertical="center" indent="5"/>
    </xf>
    <xf numFmtId="0" fontId="176" fillId="0" borderId="0" xfId="11" applyFont="1" applyAlignment="1">
      <alignment horizontal="left" vertical="center" indent="5"/>
    </xf>
    <xf numFmtId="164" fontId="177" fillId="0" borderId="0" xfId="1" applyNumberFormat="1" applyFont="1" applyAlignment="1">
      <alignment horizontal="left" indent="5"/>
    </xf>
    <xf numFmtId="0" fontId="177" fillId="0" borderId="0" xfId="0" applyFont="1" applyAlignment="1">
      <alignment horizontal="left" indent="5"/>
    </xf>
    <xf numFmtId="0" fontId="178" fillId="0" borderId="0" xfId="0" applyFont="1"/>
    <xf numFmtId="0" fontId="171" fillId="0" borderId="0" xfId="0" applyFont="1"/>
    <xf numFmtId="0" fontId="171" fillId="0" borderId="0" xfId="0" applyFont="1" applyAlignment="1">
      <alignment horizontal="center" vertical="center"/>
    </xf>
    <xf numFmtId="164" fontId="171" fillId="0" borderId="0" xfId="1" applyNumberFormat="1" applyFont="1" applyAlignment="1">
      <alignment horizontal="center" vertical="center"/>
    </xf>
    <xf numFmtId="164" fontId="178" fillId="0" borderId="0" xfId="1" applyNumberFormat="1" applyFont="1" applyAlignment="1">
      <alignment horizontal="center" vertical="center"/>
    </xf>
    <xf numFmtId="164" fontId="178" fillId="0" borderId="0" xfId="1" applyNumberFormat="1" applyFont="1"/>
    <xf numFmtId="164" fontId="177" fillId="0" borderId="0" xfId="1" applyNumberFormat="1" applyFont="1"/>
    <xf numFmtId="0" fontId="177" fillId="0" borderId="0" xfId="0" applyFont="1"/>
    <xf numFmtId="0" fontId="176" fillId="51" borderId="1" xfId="0" applyFont="1" applyFill="1" applyBorder="1" applyAlignment="1">
      <alignment horizontal="center" vertical="center"/>
    </xf>
    <xf numFmtId="0" fontId="176" fillId="51" borderId="1" xfId="0" applyFont="1" applyFill="1" applyBorder="1" applyAlignment="1">
      <alignment horizontal="left" vertical="center" indent="1"/>
    </xf>
    <xf numFmtId="0" fontId="152" fillId="0" borderId="0" xfId="0" applyFont="1" applyAlignment="1">
      <alignment horizontal="center" vertical="center"/>
    </xf>
    <xf numFmtId="38" fontId="170" fillId="50" borderId="1" xfId="0" applyNumberFormat="1" applyFont="1" applyFill="1" applyBorder="1" applyAlignment="1">
      <alignment horizontal="center" vertical="center" wrapText="1"/>
    </xf>
    <xf numFmtId="38" fontId="170" fillId="50" borderId="1" xfId="0" applyNumberFormat="1" applyFont="1" applyFill="1" applyBorder="1" applyAlignment="1">
      <alignment horizontal="left" vertical="center" wrapText="1" indent="1"/>
    </xf>
    <xf numFmtId="38" fontId="170" fillId="0" borderId="1" xfId="0" applyNumberFormat="1" applyFont="1" applyBorder="1" applyAlignment="1">
      <alignment horizontal="center" vertical="center" wrapText="1"/>
    </xf>
    <xf numFmtId="0" fontId="156" fillId="0" borderId="1" xfId="0" applyFont="1" applyBorder="1" applyAlignment="1">
      <alignment horizontal="center" vertical="center" wrapText="1"/>
    </xf>
    <xf numFmtId="0" fontId="156" fillId="0" borderId="1" xfId="0" applyFont="1" applyBorder="1" applyAlignment="1">
      <alignment horizontal="left" vertical="center" wrapText="1" indent="1"/>
    </xf>
    <xf numFmtId="38" fontId="156" fillId="0" borderId="1" xfId="0" applyNumberFormat="1" applyFont="1" applyBorder="1" applyAlignment="1">
      <alignment horizontal="center" vertical="center" wrapText="1"/>
    </xf>
    <xf numFmtId="38" fontId="156" fillId="0" borderId="8" xfId="0" applyNumberFormat="1" applyFont="1" applyBorder="1" applyAlignment="1">
      <alignment horizontal="left" vertical="center" wrapText="1" indent="1"/>
    </xf>
    <xf numFmtId="38" fontId="156" fillId="0" borderId="1" xfId="0" applyNumberFormat="1" applyFont="1" applyBorder="1" applyAlignment="1">
      <alignment vertical="center" wrapText="1"/>
    </xf>
    <xf numFmtId="38" fontId="179" fillId="0" borderId="1" xfId="0" applyNumberFormat="1" applyFont="1" applyBorder="1" applyAlignment="1">
      <alignment horizontal="center" vertical="center" wrapText="1"/>
    </xf>
    <xf numFmtId="165" fontId="159" fillId="0" borderId="1" xfId="0" applyNumberFormat="1" applyFont="1" applyBorder="1" applyAlignment="1">
      <alignment horizontal="center" vertical="center" wrapText="1"/>
    </xf>
    <xf numFmtId="38" fontId="159" fillId="0" borderId="1" xfId="0" applyNumberFormat="1" applyFont="1" applyBorder="1" applyAlignment="1">
      <alignment horizontal="left" vertical="center" wrapText="1" indent="1"/>
    </xf>
    <xf numFmtId="38" fontId="180" fillId="0" borderId="13" xfId="0" applyNumberFormat="1" applyFont="1" applyBorder="1" applyAlignment="1">
      <alignment horizontal="center" vertical="center" wrapText="1"/>
    </xf>
    <xf numFmtId="164" fontId="180" fillId="0" borderId="13" xfId="1" applyNumberFormat="1" applyFont="1" applyBorder="1" applyAlignment="1">
      <alignment horizontal="center" vertical="center" wrapText="1"/>
    </xf>
    <xf numFmtId="3" fontId="180" fillId="0" borderId="13" xfId="1" applyNumberFormat="1" applyFont="1" applyBorder="1" applyAlignment="1">
      <alignment horizontal="center" vertical="center" wrapText="1"/>
    </xf>
    <xf numFmtId="9" fontId="180" fillId="0" borderId="13" xfId="1" applyNumberFormat="1" applyFont="1" applyBorder="1" applyAlignment="1">
      <alignment horizontal="center" vertical="center" wrapText="1"/>
    </xf>
    <xf numFmtId="164" fontId="159" fillId="0" borderId="13" xfId="1" applyNumberFormat="1" applyFont="1" applyBorder="1" applyAlignment="1">
      <alignment horizontal="center" vertical="center" wrapText="1"/>
    </xf>
    <xf numFmtId="164" fontId="152" fillId="0" borderId="13" xfId="1" applyNumberFormat="1" applyFont="1" applyBorder="1" applyAlignment="1">
      <alignment horizontal="center" vertical="center"/>
    </xf>
    <xf numFmtId="0" fontId="152" fillId="0" borderId="13" xfId="0" applyFont="1" applyBorder="1" applyAlignment="1">
      <alignment horizontal="center" vertical="center"/>
    </xf>
    <xf numFmtId="38" fontId="180" fillId="0" borderId="5" xfId="0" applyNumberFormat="1" applyFont="1" applyBorder="1" applyAlignment="1">
      <alignment horizontal="center" vertical="center" wrapText="1"/>
    </xf>
    <xf numFmtId="164" fontId="180" fillId="0" borderId="5" xfId="1" applyNumberFormat="1" applyFont="1" applyBorder="1" applyAlignment="1">
      <alignment horizontal="center" vertical="center" wrapText="1"/>
    </xf>
    <xf numFmtId="3" fontId="180" fillId="0" borderId="5" xfId="1" applyNumberFormat="1" applyFont="1" applyBorder="1" applyAlignment="1">
      <alignment horizontal="center" vertical="center" wrapText="1"/>
    </xf>
    <xf numFmtId="9" fontId="180" fillId="0" borderId="5" xfId="1" applyNumberFormat="1" applyFont="1" applyBorder="1" applyAlignment="1">
      <alignment horizontal="center" vertical="center" wrapText="1"/>
    </xf>
    <xf numFmtId="164" fontId="159" fillId="0" borderId="5" xfId="1" applyNumberFormat="1" applyFont="1" applyBorder="1" applyAlignment="1">
      <alignment horizontal="center" vertical="center" wrapText="1"/>
    </xf>
    <xf numFmtId="164" fontId="152" fillId="0" borderId="5" xfId="1" applyNumberFormat="1" applyFont="1" applyBorder="1" applyAlignment="1">
      <alignment horizontal="center" vertical="center"/>
    </xf>
    <xf numFmtId="0" fontId="152" fillId="0" borderId="5" xfId="0" applyFont="1" applyBorder="1" applyAlignment="1">
      <alignment horizontal="center" vertical="center"/>
    </xf>
    <xf numFmtId="3" fontId="152" fillId="0" borderId="5" xfId="0" applyNumberFormat="1" applyFont="1" applyBorder="1" applyAlignment="1">
      <alignment horizontal="center" vertical="center"/>
    </xf>
    <xf numFmtId="38" fontId="180" fillId="0" borderId="6" xfId="0" applyNumberFormat="1" applyFont="1" applyBorder="1" applyAlignment="1">
      <alignment horizontal="center" vertical="center" wrapText="1"/>
    </xf>
    <xf numFmtId="164" fontId="180" fillId="0" borderId="6" xfId="1" applyNumberFormat="1" applyFont="1" applyBorder="1" applyAlignment="1">
      <alignment horizontal="center" vertical="center" wrapText="1"/>
    </xf>
    <xf numFmtId="3" fontId="180" fillId="0" borderId="6" xfId="1" applyNumberFormat="1" applyFont="1" applyBorder="1" applyAlignment="1">
      <alignment horizontal="center" vertical="center" wrapText="1"/>
    </xf>
    <xf numFmtId="9" fontId="180" fillId="0" borderId="6" xfId="1" applyNumberFormat="1" applyFont="1" applyBorder="1" applyAlignment="1">
      <alignment horizontal="center" vertical="center" wrapText="1"/>
    </xf>
    <xf numFmtId="164" fontId="159" fillId="0" borderId="6" xfId="1" applyNumberFormat="1" applyFont="1" applyBorder="1" applyAlignment="1">
      <alignment horizontal="center" vertical="center" wrapText="1"/>
    </xf>
    <xf numFmtId="164" fontId="152" fillId="0" borderId="6" xfId="1" applyNumberFormat="1" applyFont="1" applyBorder="1" applyAlignment="1">
      <alignment horizontal="center" vertical="center"/>
    </xf>
    <xf numFmtId="0" fontId="152" fillId="0" borderId="6" xfId="0" applyFont="1" applyBorder="1" applyAlignment="1">
      <alignment horizontal="center" vertical="center"/>
    </xf>
    <xf numFmtId="38" fontId="156" fillId="0" borderId="12" xfId="0" applyNumberFormat="1" applyFont="1" applyBorder="1" applyAlignment="1">
      <alignment horizontal="center" vertical="center" wrapText="1"/>
    </xf>
    <xf numFmtId="38" fontId="156" fillId="0" borderId="1" xfId="0" applyNumberFormat="1" applyFont="1" applyBorder="1" applyAlignment="1">
      <alignment horizontal="left" vertical="center" wrapText="1" indent="1"/>
    </xf>
    <xf numFmtId="3" fontId="156" fillId="0" borderId="1" xfId="0" applyNumberFormat="1" applyFont="1" applyBorder="1" applyAlignment="1">
      <alignment vertical="center" wrapText="1"/>
    </xf>
    <xf numFmtId="3" fontId="156" fillId="0" borderId="1" xfId="0" applyNumberFormat="1" applyFont="1" applyBorder="1" applyAlignment="1">
      <alignment horizontal="center" vertical="center" wrapText="1"/>
    </xf>
    <xf numFmtId="3" fontId="179" fillId="0" borderId="1" xfId="0" applyNumberFormat="1" applyFont="1" applyBorder="1" applyAlignment="1">
      <alignment horizontal="center" vertical="center"/>
    </xf>
    <xf numFmtId="3" fontId="179" fillId="0" borderId="1" xfId="0" applyNumberFormat="1" applyFont="1" applyBorder="1" applyAlignment="1">
      <alignment horizontal="center" vertical="center" wrapText="1"/>
    </xf>
    <xf numFmtId="38" fontId="165" fillId="0" borderId="1" xfId="0" applyNumberFormat="1" applyFont="1" applyBorder="1" applyAlignment="1">
      <alignment horizontal="left" vertical="center" wrapText="1" indent="1"/>
    </xf>
    <xf numFmtId="3" fontId="159" fillId="0" borderId="13" xfId="0" applyNumberFormat="1" applyFont="1" applyBorder="1" applyAlignment="1">
      <alignment horizontal="center" vertical="center" wrapText="1"/>
    </xf>
    <xf numFmtId="164" fontId="152" fillId="0" borderId="7" xfId="1" applyNumberFormat="1" applyFont="1" applyBorder="1" applyAlignment="1">
      <alignment horizontal="center" vertical="center"/>
    </xf>
    <xf numFmtId="40" fontId="159" fillId="0" borderId="1" xfId="0" applyNumberFormat="1" applyFont="1" applyBorder="1" applyAlignment="1">
      <alignment horizontal="center" vertical="center" wrapText="1"/>
    </xf>
    <xf numFmtId="164" fontId="159" fillId="0" borderId="13" xfId="1" applyNumberFormat="1" applyFont="1" applyBorder="1" applyAlignment="1">
      <alignment horizontal="right" vertical="center" wrapText="1"/>
    </xf>
    <xf numFmtId="3" fontId="151" fillId="0" borderId="13" xfId="0" applyNumberFormat="1" applyFont="1" applyBorder="1" applyAlignment="1">
      <alignment horizontal="center" vertical="center"/>
    </xf>
    <xf numFmtId="164" fontId="159" fillId="0" borderId="5" xfId="1" applyNumberFormat="1" applyFont="1" applyBorder="1" applyAlignment="1">
      <alignment horizontal="right" vertical="center" wrapText="1" indent="1"/>
    </xf>
    <xf numFmtId="164" fontId="159" fillId="0" borderId="6" xfId="1" applyNumberFormat="1" applyFont="1" applyBorder="1" applyAlignment="1">
      <alignment horizontal="right" vertical="center" wrapText="1" indent="1"/>
    </xf>
    <xf numFmtId="3" fontId="152" fillId="0" borderId="6" xfId="0" applyNumberFormat="1" applyFont="1" applyBorder="1" applyAlignment="1">
      <alignment horizontal="center" vertical="center"/>
    </xf>
    <xf numFmtId="3" fontId="151" fillId="0" borderId="6" xfId="0" applyNumberFormat="1" applyFont="1" applyBorder="1" applyAlignment="1">
      <alignment horizontal="center" vertical="center"/>
    </xf>
    <xf numFmtId="38" fontId="156" fillId="0" borderId="38" xfId="0" applyNumberFormat="1" applyFont="1" applyBorder="1" applyAlignment="1">
      <alignment horizontal="center" vertical="center" wrapText="1"/>
    </xf>
    <xf numFmtId="38" fontId="180" fillId="0" borderId="12" xfId="0" applyNumberFormat="1" applyFont="1" applyBorder="1" applyAlignment="1">
      <alignment horizontal="center" vertical="center" wrapText="1"/>
    </xf>
    <xf numFmtId="164" fontId="180" fillId="0" borderId="54" xfId="1" applyNumberFormat="1" applyFont="1" applyBorder="1" applyAlignment="1">
      <alignment horizontal="center" vertical="center" wrapText="1"/>
    </xf>
    <xf numFmtId="164" fontId="159" fillId="0" borderId="12" xfId="1" applyNumberFormat="1" applyFont="1" applyBorder="1" applyAlignment="1">
      <alignment horizontal="right" vertical="center" wrapText="1" indent="1"/>
    </xf>
    <xf numFmtId="165" fontId="159" fillId="0" borderId="38" xfId="0" applyNumberFormat="1" applyFont="1" applyBorder="1" applyAlignment="1">
      <alignment horizontal="center" vertical="center" wrapText="1"/>
    </xf>
    <xf numFmtId="38" fontId="165" fillId="0" borderId="1" xfId="0" applyNumberFormat="1" applyFont="1" applyBorder="1" applyAlignment="1">
      <alignment horizontal="left" vertical="center" wrapText="1"/>
    </xf>
    <xf numFmtId="38" fontId="170" fillId="48" borderId="1" xfId="0" applyNumberFormat="1" applyFont="1" applyFill="1" applyBorder="1" applyAlignment="1">
      <alignment horizontal="center" vertical="center" wrapText="1"/>
    </xf>
    <xf numFmtId="38" fontId="170" fillId="48" borderId="8" xfId="0" applyNumberFormat="1" applyFont="1" applyFill="1" applyBorder="1" applyAlignment="1">
      <alignment horizontal="left" vertical="center" wrapText="1" indent="1"/>
    </xf>
    <xf numFmtId="38" fontId="181" fillId="0" borderId="1" xfId="0" applyNumberFormat="1" applyFont="1" applyBorder="1" applyAlignment="1">
      <alignment horizontal="center" vertical="center" wrapText="1"/>
    </xf>
    <xf numFmtId="38" fontId="181" fillId="0" borderId="1" xfId="0" applyNumberFormat="1" applyFont="1" applyBorder="1" applyAlignment="1">
      <alignment horizontal="left" vertical="center" wrapText="1" indent="1"/>
    </xf>
    <xf numFmtId="38" fontId="182" fillId="0" borderId="1" xfId="0" applyNumberFormat="1" applyFont="1" applyBorder="1" applyAlignment="1">
      <alignment horizontal="center" vertical="center" wrapText="1"/>
    </xf>
    <xf numFmtId="38" fontId="165" fillId="0" borderId="7" xfId="0" applyNumberFormat="1" applyFont="1" applyBorder="1" applyAlignment="1">
      <alignment horizontal="left" vertical="center" wrapText="1" indent="1"/>
    </xf>
    <xf numFmtId="3" fontId="161" fillId="0" borderId="13" xfId="0" applyNumberFormat="1" applyFont="1" applyBorder="1" applyAlignment="1">
      <alignment horizontal="center" vertical="center"/>
    </xf>
    <xf numFmtId="1" fontId="161" fillId="0" borderId="13" xfId="0" applyNumberFormat="1" applyFont="1" applyBorder="1" applyAlignment="1">
      <alignment horizontal="center" vertical="center"/>
    </xf>
    <xf numFmtId="0" fontId="161" fillId="0" borderId="13" xfId="0" applyFont="1" applyBorder="1" applyAlignment="1">
      <alignment horizontal="center"/>
    </xf>
    <xf numFmtId="38" fontId="165" fillId="0" borderId="5" xfId="0" applyNumberFormat="1" applyFont="1" applyBorder="1" applyAlignment="1">
      <alignment horizontal="left" vertical="center" wrapText="1" indent="1"/>
    </xf>
    <xf numFmtId="3" fontId="161" fillId="0" borderId="5" xfId="0" applyNumberFormat="1" applyFont="1" applyBorder="1" applyAlignment="1">
      <alignment horizontal="center" vertical="center"/>
    </xf>
    <xf numFmtId="3" fontId="161" fillId="0" borderId="5" xfId="1" applyNumberFormat="1" applyFont="1" applyBorder="1" applyAlignment="1">
      <alignment horizontal="center" vertical="center"/>
    </xf>
    <xf numFmtId="3" fontId="183" fillId="0" borderId="5" xfId="1" applyNumberFormat="1" applyFont="1" applyBorder="1" applyAlignment="1">
      <alignment horizontal="center" vertical="center"/>
    </xf>
    <xf numFmtId="0" fontId="161" fillId="0" borderId="5" xfId="0" applyFont="1" applyBorder="1" applyAlignment="1">
      <alignment horizontal="center"/>
    </xf>
    <xf numFmtId="3" fontId="165" fillId="0" borderId="5" xfId="0" applyNumberFormat="1" applyFont="1" applyBorder="1" applyAlignment="1">
      <alignment horizontal="center" vertical="center" wrapText="1"/>
    </xf>
    <xf numFmtId="1" fontId="161" fillId="0" borderId="5" xfId="0" applyNumberFormat="1" applyFont="1" applyBorder="1" applyAlignment="1">
      <alignment horizontal="center" vertical="center"/>
    </xf>
    <xf numFmtId="38" fontId="165" fillId="0" borderId="6" xfId="0" applyNumberFormat="1" applyFont="1" applyBorder="1" applyAlignment="1">
      <alignment horizontal="left" vertical="center" wrapText="1" indent="1"/>
    </xf>
    <xf numFmtId="38" fontId="181" fillId="0" borderId="1" xfId="0" applyNumberFormat="1" applyFont="1" applyBorder="1" applyAlignment="1">
      <alignment vertical="center" wrapText="1"/>
    </xf>
    <xf numFmtId="0" fontId="165" fillId="0" borderId="0" xfId="0" applyFont="1"/>
    <xf numFmtId="38" fontId="165" fillId="0" borderId="13" xfId="0" applyNumberFormat="1" applyFont="1" applyBorder="1" applyAlignment="1">
      <alignment horizontal="center" vertical="center" wrapText="1"/>
    </xf>
    <xf numFmtId="3" fontId="165" fillId="0" borderId="13" xfId="32" applyNumberFormat="1" applyFont="1" applyBorder="1" applyAlignment="1">
      <alignment horizontal="center" vertical="center" wrapText="1"/>
    </xf>
    <xf numFmtId="3" fontId="165" fillId="0" borderId="13" xfId="1" applyNumberFormat="1" applyFont="1" applyBorder="1" applyAlignment="1">
      <alignment horizontal="center" vertical="center" wrapText="1"/>
    </xf>
    <xf numFmtId="3" fontId="165" fillId="0" borderId="13" xfId="1" applyNumberFormat="1" applyFont="1" applyBorder="1" applyAlignment="1">
      <alignment horizontal="center" vertical="center"/>
    </xf>
    <xf numFmtId="3" fontId="165" fillId="0" borderId="13" xfId="0" applyNumberFormat="1" applyFont="1" applyBorder="1" applyAlignment="1">
      <alignment horizontal="center" vertical="center"/>
    </xf>
    <xf numFmtId="0" fontId="165" fillId="0" borderId="13" xfId="0" applyFont="1" applyBorder="1"/>
    <xf numFmtId="38" fontId="165" fillId="0" borderId="5" xfId="0" applyNumberFormat="1" applyFont="1" applyBorder="1" applyAlignment="1">
      <alignment horizontal="center" vertical="center" wrapText="1"/>
    </xf>
    <xf numFmtId="3" fontId="165" fillId="0" borderId="5" xfId="32" applyNumberFormat="1" applyFont="1" applyBorder="1" applyAlignment="1">
      <alignment horizontal="center" vertical="center" wrapText="1"/>
    </xf>
    <xf numFmtId="3" fontId="165" fillId="0" borderId="5" xfId="1" applyNumberFormat="1" applyFont="1" applyBorder="1" applyAlignment="1">
      <alignment horizontal="center" vertical="center" wrapText="1"/>
    </xf>
    <xf numFmtId="3" fontId="165" fillId="0" borderId="5" xfId="1" applyNumberFormat="1" applyFont="1" applyBorder="1" applyAlignment="1">
      <alignment horizontal="center" vertical="center"/>
    </xf>
    <xf numFmtId="3" fontId="165" fillId="0" borderId="5" xfId="0" applyNumberFormat="1" applyFont="1" applyBorder="1" applyAlignment="1">
      <alignment horizontal="center" vertical="center"/>
    </xf>
    <xf numFmtId="0" fontId="165" fillId="0" borderId="5" xfId="0" applyFont="1" applyBorder="1"/>
    <xf numFmtId="38" fontId="165" fillId="0" borderId="14" xfId="0" applyNumberFormat="1" applyFont="1" applyBorder="1" applyAlignment="1">
      <alignment horizontal="center" vertical="center" wrapText="1"/>
    </xf>
    <xf numFmtId="3" fontId="165" fillId="0" borderId="14" xfId="32" applyNumberFormat="1" applyFont="1" applyBorder="1" applyAlignment="1">
      <alignment horizontal="center" vertical="center" wrapText="1"/>
    </xf>
    <xf numFmtId="3" fontId="165" fillId="0" borderId="14" xfId="1" applyNumberFormat="1" applyFont="1" applyBorder="1" applyAlignment="1">
      <alignment horizontal="center" vertical="center" wrapText="1"/>
    </xf>
    <xf numFmtId="3" fontId="165" fillId="0" borderId="14" xfId="1" applyNumberFormat="1" applyFont="1" applyBorder="1" applyAlignment="1">
      <alignment horizontal="center" vertical="center"/>
    </xf>
    <xf numFmtId="3" fontId="165" fillId="0" borderId="14" xfId="0" applyNumberFormat="1" applyFont="1" applyBorder="1" applyAlignment="1">
      <alignment horizontal="center" vertical="center"/>
    </xf>
    <xf numFmtId="0" fontId="165" fillId="0" borderId="14" xfId="0" applyFont="1" applyBorder="1"/>
    <xf numFmtId="3" fontId="165" fillId="0" borderId="6" xfId="1" applyNumberFormat="1" applyFont="1" applyBorder="1" applyAlignment="1">
      <alignment horizontal="center" vertical="center" wrapText="1"/>
    </xf>
    <xf numFmtId="3" fontId="165" fillId="0" borderId="6" xfId="1" applyNumberFormat="1" applyFont="1" applyBorder="1" applyAlignment="1">
      <alignment horizontal="center" vertical="center"/>
    </xf>
    <xf numFmtId="0" fontId="165" fillId="0" borderId="6" xfId="0" applyFont="1" applyBorder="1"/>
    <xf numFmtId="38" fontId="181" fillId="0" borderId="11" xfId="0" applyNumberFormat="1" applyFont="1" applyBorder="1" applyAlignment="1">
      <alignment horizontal="center" vertical="center" wrapText="1"/>
    </xf>
    <xf numFmtId="38" fontId="170" fillId="0" borderId="1" xfId="14" applyNumberFormat="1" applyFont="1" applyBorder="1" applyAlignment="1">
      <alignment horizontal="center" vertical="center" wrapText="1"/>
    </xf>
    <xf numFmtId="38" fontId="170" fillId="0" borderId="1" xfId="14" applyNumberFormat="1" applyFont="1" applyBorder="1" applyAlignment="1">
      <alignment horizontal="left" vertical="center" wrapText="1" indent="1"/>
    </xf>
    <xf numFmtId="164" fontId="170" fillId="0" borderId="1" xfId="1" applyNumberFormat="1" applyFont="1" applyBorder="1" applyAlignment="1">
      <alignment horizontal="center" vertical="center" wrapText="1"/>
    </xf>
    <xf numFmtId="164" fontId="170" fillId="0" borderId="1" xfId="1" applyNumberFormat="1" applyFont="1" applyBorder="1" applyAlignment="1">
      <alignment horizontal="right" vertical="center" wrapText="1"/>
    </xf>
    <xf numFmtId="0" fontId="161" fillId="0" borderId="0" xfId="14" applyFont="1"/>
    <xf numFmtId="3" fontId="170" fillId="0" borderId="1" xfId="14" applyNumberFormat="1" applyFont="1" applyBorder="1" applyAlignment="1">
      <alignment horizontal="center" vertical="center" wrapText="1"/>
    </xf>
    <xf numFmtId="3" fontId="170" fillId="0" borderId="1" xfId="1" applyNumberFormat="1" applyFont="1" applyBorder="1" applyAlignment="1">
      <alignment horizontal="center" vertical="center" wrapText="1"/>
    </xf>
    <xf numFmtId="3" fontId="170" fillId="0" borderId="1" xfId="1" applyNumberFormat="1" applyFont="1" applyBorder="1" applyAlignment="1">
      <alignment horizontal="right" vertical="center" wrapText="1"/>
    </xf>
    <xf numFmtId="38" fontId="170" fillId="0" borderId="1" xfId="0" applyNumberFormat="1" applyFont="1" applyBorder="1" applyAlignment="1">
      <alignment horizontal="left" vertical="center" wrapText="1" indent="1"/>
    </xf>
    <xf numFmtId="0" fontId="165" fillId="0" borderId="8" xfId="11" applyFont="1" applyBorder="1" applyAlignment="1">
      <alignment horizontal="center"/>
    </xf>
    <xf numFmtId="0" fontId="170" fillId="0" borderId="9" xfId="11" applyFont="1" applyBorder="1" applyAlignment="1">
      <alignment horizontal="left" vertical="center" indent="1"/>
    </xf>
    <xf numFmtId="38" fontId="176" fillId="0" borderId="9" xfId="11" applyNumberFormat="1" applyFont="1" applyBorder="1" applyAlignment="1">
      <alignment vertical="center"/>
    </xf>
    <xf numFmtId="37" fontId="176" fillId="0" borderId="9" xfId="12" applyNumberFormat="1" applyFont="1" applyBorder="1" applyAlignment="1">
      <alignment vertical="center"/>
    </xf>
    <xf numFmtId="0" fontId="161" fillId="0" borderId="0" xfId="11" applyFont="1"/>
    <xf numFmtId="0" fontId="170" fillId="0" borderId="0" xfId="11" applyFont="1" applyAlignment="1">
      <alignment horizontal="left" vertical="center" indent="1"/>
    </xf>
    <xf numFmtId="38" fontId="180" fillId="0" borderId="1" xfId="0" applyNumberFormat="1" applyFont="1" applyBorder="1" applyAlignment="1">
      <alignment horizontal="center" vertical="center" wrapText="1"/>
    </xf>
    <xf numFmtId="164" fontId="180" fillId="0" borderId="1" xfId="1" applyNumberFormat="1" applyFont="1" applyBorder="1" applyAlignment="1">
      <alignment horizontal="center" vertical="center" wrapText="1"/>
    </xf>
    <xf numFmtId="3" fontId="180" fillId="0" borderId="1" xfId="1" applyNumberFormat="1" applyFont="1" applyBorder="1" applyAlignment="1">
      <alignment horizontal="center" vertical="center" wrapText="1"/>
    </xf>
    <xf numFmtId="9" fontId="180" fillId="0" borderId="1" xfId="1" applyNumberFormat="1" applyFont="1" applyBorder="1" applyAlignment="1">
      <alignment horizontal="center" vertical="center" wrapText="1"/>
    </xf>
    <xf numFmtId="164" fontId="152" fillId="0" borderId="1" xfId="1" applyNumberFormat="1" applyFont="1" applyBorder="1" applyAlignment="1">
      <alignment horizontal="center" vertical="center"/>
    </xf>
    <xf numFmtId="3" fontId="152" fillId="0" borderId="1" xfId="0" applyNumberFormat="1" applyFont="1" applyBorder="1" applyAlignment="1">
      <alignment horizontal="center" vertical="center"/>
    </xf>
    <xf numFmtId="164" fontId="165" fillId="0" borderId="0" xfId="1" applyNumberFormat="1" applyFont="1"/>
    <xf numFmtId="0" fontId="177" fillId="0" borderId="0" xfId="0" applyFont="1" applyAlignment="1">
      <alignment vertical="center"/>
    </xf>
    <xf numFmtId="164" fontId="171" fillId="0" borderId="0" xfId="1" applyNumberFormat="1" applyFont="1" applyAlignment="1">
      <alignment horizontal="left"/>
    </xf>
    <xf numFmtId="0" fontId="176" fillId="3" borderId="88" xfId="0" applyFont="1" applyFill="1" applyBorder="1" applyAlignment="1">
      <alignment horizontal="center" vertical="center"/>
    </xf>
    <xf numFmtId="0" fontId="152" fillId="3" borderId="88" xfId="0" applyFont="1" applyFill="1" applyBorder="1" applyAlignment="1">
      <alignment horizontal="center" vertical="center"/>
    </xf>
    <xf numFmtId="38" fontId="170" fillId="53" borderId="38" xfId="0" applyNumberFormat="1" applyFont="1" applyFill="1" applyBorder="1" applyAlignment="1">
      <alignment horizontal="center" vertical="center" wrapText="1"/>
    </xf>
    <xf numFmtId="0" fontId="161" fillId="53" borderId="1" xfId="0" applyFont="1" applyFill="1" applyBorder="1"/>
    <xf numFmtId="38" fontId="170" fillId="53" borderId="1" xfId="0" applyNumberFormat="1" applyFont="1" applyFill="1" applyBorder="1" applyAlignment="1">
      <alignment horizontal="center" vertical="center" wrapText="1"/>
    </xf>
    <xf numFmtId="0" fontId="152" fillId="53" borderId="1" xfId="0" applyFont="1" applyFill="1" applyBorder="1" applyAlignment="1">
      <alignment horizontal="center" vertical="center"/>
    </xf>
    <xf numFmtId="3" fontId="153" fillId="53" borderId="49" xfId="0" applyNumberFormat="1" applyFont="1" applyFill="1" applyBorder="1" applyAlignment="1">
      <alignment horizontal="center" vertical="center"/>
    </xf>
    <xf numFmtId="0" fontId="156" fillId="0" borderId="38" xfId="0" applyFont="1" applyBorder="1" applyAlignment="1">
      <alignment horizontal="center" vertical="center" wrapText="1"/>
    </xf>
    <xf numFmtId="164" fontId="156" fillId="0" borderId="1" xfId="1" applyNumberFormat="1" applyFont="1" applyBorder="1" applyAlignment="1">
      <alignment horizontal="center" vertical="center" wrapText="1"/>
    </xf>
    <xf numFmtId="164" fontId="156" fillId="0" borderId="49" xfId="1" applyNumberFormat="1" applyFont="1" applyBorder="1" applyAlignment="1">
      <alignment horizontal="center" vertical="center" wrapText="1"/>
    </xf>
    <xf numFmtId="164" fontId="156" fillId="0" borderId="1" xfId="1" applyNumberFormat="1" applyFont="1" applyBorder="1" applyAlignment="1">
      <alignment vertical="center" wrapText="1"/>
    </xf>
    <xf numFmtId="3" fontId="156" fillId="0" borderId="1" xfId="1" applyNumberFormat="1" applyFont="1" applyBorder="1" applyAlignment="1">
      <alignment horizontal="center" vertical="center" wrapText="1"/>
    </xf>
    <xf numFmtId="9" fontId="156" fillId="0" borderId="1" xfId="1" applyNumberFormat="1" applyFont="1" applyBorder="1" applyAlignment="1">
      <alignment horizontal="center" vertical="center" wrapText="1"/>
    </xf>
    <xf numFmtId="9" fontId="152" fillId="0" borderId="1" xfId="2" applyFont="1" applyBorder="1" applyAlignment="1">
      <alignment horizontal="center" vertical="center"/>
    </xf>
    <xf numFmtId="3" fontId="152" fillId="0" borderId="49" xfId="0" applyNumberFormat="1" applyFont="1" applyBorder="1" applyAlignment="1">
      <alignment horizontal="center" vertical="center"/>
    </xf>
    <xf numFmtId="164" fontId="159" fillId="0" borderId="1" xfId="1" applyNumberFormat="1" applyFont="1" applyBorder="1" applyAlignment="1">
      <alignment vertical="center" wrapText="1"/>
    </xf>
    <xf numFmtId="9" fontId="165" fillId="0" borderId="1" xfId="1" applyNumberFormat="1" applyFont="1" applyBorder="1" applyAlignment="1">
      <alignment horizontal="center" vertical="center" wrapText="1"/>
    </xf>
    <xf numFmtId="164" fontId="159" fillId="0" borderId="1" xfId="1" applyNumberFormat="1" applyFont="1" applyBorder="1" applyAlignment="1">
      <alignment horizontal="center" vertical="center" wrapText="1"/>
    </xf>
    <xf numFmtId="9" fontId="159" fillId="0" borderId="1" xfId="1" applyNumberFormat="1" applyFont="1" applyBorder="1" applyAlignment="1">
      <alignment horizontal="center" vertical="center" wrapText="1"/>
    </xf>
    <xf numFmtId="9" fontId="151" fillId="0" borderId="1" xfId="2" applyFont="1" applyBorder="1" applyAlignment="1">
      <alignment horizontal="center" vertical="center"/>
    </xf>
    <xf numFmtId="0" fontId="151" fillId="0" borderId="49" xfId="0" applyFont="1" applyBorder="1" applyAlignment="1">
      <alignment horizontal="center" vertical="center"/>
    </xf>
    <xf numFmtId="3" fontId="151" fillId="0" borderId="49" xfId="0" applyNumberFormat="1" applyFont="1" applyBorder="1" applyAlignment="1">
      <alignment horizontal="center" vertical="center"/>
    </xf>
    <xf numFmtId="9" fontId="151" fillId="0" borderId="1" xfId="0" applyNumberFormat="1" applyFont="1" applyBorder="1" applyAlignment="1">
      <alignment horizontal="center" vertical="center"/>
    </xf>
    <xf numFmtId="3" fontId="152" fillId="0" borderId="0" xfId="0" applyNumberFormat="1" applyFont="1" applyAlignment="1">
      <alignment horizontal="center" vertical="center"/>
    </xf>
    <xf numFmtId="164" fontId="165" fillId="0" borderId="1" xfId="1" applyNumberFormat="1" applyFont="1" applyBorder="1" applyAlignment="1">
      <alignment horizontal="center" vertical="center" wrapText="1"/>
    </xf>
    <xf numFmtId="40" fontId="159" fillId="0" borderId="38" xfId="0" applyNumberFormat="1" applyFont="1" applyBorder="1" applyAlignment="1">
      <alignment horizontal="center" vertical="center" wrapText="1"/>
    </xf>
    <xf numFmtId="9" fontId="181" fillId="0" borderId="1" xfId="1" applyNumberFormat="1" applyFont="1" applyBorder="1" applyAlignment="1">
      <alignment horizontal="center" vertical="center" wrapText="1"/>
    </xf>
    <xf numFmtId="164" fontId="156" fillId="0" borderId="1" xfId="0" applyNumberFormat="1" applyFont="1" applyBorder="1" applyAlignment="1">
      <alignment horizontal="center" vertical="center" wrapText="1"/>
    </xf>
    <xf numFmtId="9" fontId="156" fillId="0" borderId="1" xfId="0" applyNumberFormat="1" applyFont="1" applyBorder="1" applyAlignment="1">
      <alignment horizontal="center" vertical="center" wrapText="1"/>
    </xf>
    <xf numFmtId="9" fontId="152" fillId="0" borderId="1" xfId="0" applyNumberFormat="1" applyFont="1" applyBorder="1" applyAlignment="1">
      <alignment horizontal="center" vertical="center"/>
    </xf>
    <xf numFmtId="164" fontId="165" fillId="0" borderId="1" xfId="0" applyNumberFormat="1" applyFont="1" applyBorder="1" applyAlignment="1">
      <alignment horizontal="center" vertical="center" wrapText="1"/>
    </xf>
    <xf numFmtId="9" fontId="165" fillId="0" borderId="1" xfId="0" applyNumberFormat="1" applyFont="1" applyBorder="1" applyAlignment="1">
      <alignment horizontal="center" vertical="center" wrapText="1"/>
    </xf>
    <xf numFmtId="164" fontId="159" fillId="0" borderId="1" xfId="0" applyNumberFormat="1" applyFont="1" applyBorder="1" applyAlignment="1">
      <alignment horizontal="center" vertical="center" wrapText="1"/>
    </xf>
    <xf numFmtId="9" fontId="159" fillId="0" borderId="1" xfId="0" applyNumberFormat="1" applyFont="1" applyBorder="1" applyAlignment="1">
      <alignment horizontal="center" vertical="center" wrapText="1"/>
    </xf>
    <xf numFmtId="164" fontId="152" fillId="0" borderId="0" xfId="0" applyNumberFormat="1" applyFont="1" applyAlignment="1">
      <alignment horizontal="center" vertical="center"/>
    </xf>
    <xf numFmtId="164" fontId="156" fillId="0" borderId="1" xfId="0" applyNumberFormat="1" applyFont="1" applyBorder="1" applyAlignment="1">
      <alignment vertical="center" wrapText="1"/>
    </xf>
    <xf numFmtId="9" fontId="181" fillId="0" borderId="1" xfId="0" applyNumberFormat="1" applyFont="1" applyBorder="1" applyAlignment="1">
      <alignment horizontal="center" vertical="center" wrapText="1"/>
    </xf>
    <xf numFmtId="49" fontId="164" fillId="0" borderId="0" xfId="0" applyNumberFormat="1" applyFont="1" applyAlignment="1">
      <alignment horizontal="center" vertical="center"/>
    </xf>
    <xf numFmtId="49" fontId="164" fillId="0" borderId="0" xfId="1" applyNumberFormat="1" applyFont="1" applyAlignment="1">
      <alignment horizontal="center" vertical="center"/>
    </xf>
    <xf numFmtId="38" fontId="181" fillId="0" borderId="0" xfId="0" applyNumberFormat="1" applyFont="1" applyAlignment="1">
      <alignment horizontal="center" vertical="center" wrapText="1"/>
    </xf>
    <xf numFmtId="49" fontId="152" fillId="0" borderId="1" xfId="0" applyNumberFormat="1" applyFont="1" applyBorder="1" applyAlignment="1">
      <alignment horizontal="center" vertical="center" wrapText="1"/>
    </xf>
    <xf numFmtId="38" fontId="184" fillId="0" borderId="1" xfId="0" applyNumberFormat="1" applyFont="1" applyBorder="1" applyAlignment="1">
      <alignment horizontal="center" vertical="center" wrapText="1"/>
    </xf>
    <xf numFmtId="1" fontId="161" fillId="0" borderId="0" xfId="0" applyNumberFormat="1" applyFont="1" applyAlignment="1">
      <alignment horizontal="center" vertical="center"/>
    </xf>
    <xf numFmtId="3" fontId="161" fillId="0" borderId="1" xfId="0" applyNumberFormat="1" applyFont="1" applyBorder="1" applyAlignment="1">
      <alignment horizontal="center" vertical="center"/>
    </xf>
    <xf numFmtId="3" fontId="161" fillId="0" borderId="0" xfId="1" applyNumberFormat="1" applyFont="1" applyAlignment="1">
      <alignment horizontal="center" vertical="center"/>
    </xf>
    <xf numFmtId="3" fontId="165" fillId="0" borderId="0" xfId="0" applyNumberFormat="1" applyFont="1" applyAlignment="1">
      <alignment horizontal="center" vertical="center" wrapText="1"/>
    </xf>
    <xf numFmtId="3" fontId="185" fillId="0" borderId="0" xfId="0" applyNumberFormat="1" applyFont="1" applyAlignment="1">
      <alignment horizontal="center" vertical="center" wrapText="1"/>
    </xf>
    <xf numFmtId="3" fontId="161" fillId="0" borderId="0" xfId="0" applyNumberFormat="1" applyFont="1"/>
    <xf numFmtId="3" fontId="161" fillId="0" borderId="1" xfId="1" applyNumberFormat="1" applyFont="1" applyBorder="1" applyAlignment="1">
      <alignment horizontal="center" vertical="center"/>
    </xf>
    <xf numFmtId="3" fontId="165" fillId="0" borderId="1" xfId="0" applyNumberFormat="1" applyFont="1" applyBorder="1" applyAlignment="1">
      <alignment horizontal="center" vertical="center" wrapText="1"/>
    </xf>
    <xf numFmtId="38" fontId="165" fillId="0" borderId="0" xfId="0" applyNumberFormat="1" applyFont="1" applyAlignment="1">
      <alignment horizontal="center" vertical="center" wrapText="1"/>
    </xf>
    <xf numFmtId="3" fontId="165" fillId="0" borderId="0" xfId="1" applyNumberFormat="1" applyFont="1" applyAlignment="1">
      <alignment horizontal="center" vertical="center" wrapText="1"/>
    </xf>
    <xf numFmtId="3" fontId="165" fillId="0" borderId="0" xfId="32" applyNumberFormat="1" applyFont="1" applyAlignment="1">
      <alignment horizontal="center" vertical="center" wrapText="1"/>
    </xf>
    <xf numFmtId="3" fontId="165" fillId="0" borderId="0" xfId="1" applyNumberFormat="1" applyFont="1" applyAlignment="1">
      <alignment horizontal="center" vertical="center"/>
    </xf>
    <xf numFmtId="3" fontId="185" fillId="0" borderId="0" xfId="1" applyNumberFormat="1" applyFont="1" applyAlignment="1">
      <alignment horizontal="center" vertical="center"/>
    </xf>
    <xf numFmtId="3" fontId="185" fillId="0" borderId="0" xfId="0" applyNumberFormat="1" applyFont="1" applyAlignment="1">
      <alignment horizontal="center" vertical="center"/>
    </xf>
    <xf numFmtId="3" fontId="159" fillId="0" borderId="1" xfId="32" applyNumberFormat="1" applyFont="1" applyBorder="1" applyAlignment="1">
      <alignment horizontal="center" vertical="center" wrapText="1"/>
    </xf>
    <xf numFmtId="3" fontId="165" fillId="0" borderId="1" xfId="1" applyNumberFormat="1" applyFont="1" applyBorder="1" applyAlignment="1">
      <alignment horizontal="center" vertical="center" wrapText="1"/>
    </xf>
    <xf numFmtId="38" fontId="165" fillId="0" borderId="0" xfId="0" applyNumberFormat="1" applyFont="1" applyAlignment="1">
      <alignment vertical="center" wrapText="1"/>
    </xf>
    <xf numFmtId="38" fontId="165" fillId="0" borderId="0" xfId="0" applyNumberFormat="1" applyFont="1" applyAlignment="1">
      <alignment horizontal="left" vertical="center" wrapText="1"/>
    </xf>
    <xf numFmtId="3" fontId="183" fillId="0" borderId="0" xfId="1" applyNumberFormat="1" applyFont="1" applyAlignment="1">
      <alignment horizontal="center" vertical="center"/>
    </xf>
    <xf numFmtId="38" fontId="170" fillId="3" borderId="38" xfId="0" applyNumberFormat="1" applyFont="1" applyFill="1" applyBorder="1" applyAlignment="1">
      <alignment horizontal="center" vertical="center" wrapText="1"/>
    </xf>
    <xf numFmtId="0" fontId="161" fillId="3" borderId="1" xfId="0" applyFont="1" applyFill="1" applyBorder="1"/>
    <xf numFmtId="38" fontId="170" fillId="3" borderId="1" xfId="0" applyNumberFormat="1" applyFont="1" applyFill="1" applyBorder="1" applyAlignment="1">
      <alignment horizontal="center" vertical="center" wrapText="1"/>
    </xf>
    <xf numFmtId="3" fontId="153" fillId="3" borderId="49" xfId="0" applyNumberFormat="1" applyFont="1" applyFill="1" applyBorder="1" applyAlignment="1">
      <alignment horizontal="center" vertical="center"/>
    </xf>
    <xf numFmtId="166" fontId="153" fillId="3" borderId="49" xfId="2" applyNumberFormat="1" applyFont="1" applyFill="1" applyBorder="1" applyAlignment="1">
      <alignment horizontal="center" vertical="center"/>
    </xf>
    <xf numFmtId="38" fontId="170" fillId="3" borderId="38" xfId="14" applyNumberFormat="1" applyFont="1" applyFill="1" applyBorder="1" applyAlignment="1">
      <alignment horizontal="center" vertical="center" wrapText="1"/>
    </xf>
    <xf numFmtId="0" fontId="161" fillId="3" borderId="1" xfId="14" applyFont="1" applyFill="1" applyBorder="1"/>
    <xf numFmtId="3" fontId="153" fillId="3" borderId="49" xfId="14" applyNumberFormat="1" applyFont="1" applyFill="1" applyBorder="1" applyAlignment="1">
      <alignment horizontal="center" vertical="center"/>
    </xf>
    <xf numFmtId="3" fontId="165" fillId="0" borderId="1" xfId="32" applyNumberFormat="1" applyFont="1" applyBorder="1" applyAlignment="1">
      <alignment horizontal="center" vertical="center" wrapText="1"/>
    </xf>
    <xf numFmtId="38" fontId="170" fillId="3" borderId="38" xfId="11" applyNumberFormat="1" applyFont="1" applyFill="1" applyBorder="1" applyAlignment="1">
      <alignment horizontal="center" vertical="center" wrapText="1"/>
    </xf>
    <xf numFmtId="166" fontId="170" fillId="3" borderId="1" xfId="1" applyNumberFormat="1" applyFont="1" applyFill="1" applyBorder="1" applyAlignment="1">
      <alignment horizontal="center" vertical="center" wrapText="1"/>
    </xf>
    <xf numFmtId="0" fontId="161" fillId="3" borderId="1" xfId="11" applyFont="1" applyFill="1" applyBorder="1"/>
    <xf numFmtId="0" fontId="165" fillId="0" borderId="38" xfId="11" applyFont="1" applyBorder="1" applyAlignment="1">
      <alignment horizontal="center"/>
    </xf>
    <xf numFmtId="0" fontId="165" fillId="0" borderId="1" xfId="11" applyFont="1" applyBorder="1"/>
    <xf numFmtId="164" fontId="165" fillId="0" borderId="1" xfId="12" applyNumberFormat="1" applyFont="1" applyBorder="1" applyAlignment="1">
      <alignment horizontal="center" vertical="center"/>
    </xf>
    <xf numFmtId="0" fontId="161" fillId="0" borderId="1" xfId="11" applyFont="1" applyBorder="1"/>
    <xf numFmtId="0" fontId="161" fillId="0" borderId="49" xfId="11" applyFont="1" applyBorder="1"/>
    <xf numFmtId="0" fontId="176" fillId="0" borderId="1" xfId="11" applyFont="1" applyBorder="1" applyAlignment="1">
      <alignment vertical="center"/>
    </xf>
    <xf numFmtId="0" fontId="162" fillId="3" borderId="82" xfId="0" applyFont="1" applyFill="1" applyBorder="1" applyAlignment="1">
      <alignment horizontal="center" vertical="center"/>
    </xf>
    <xf numFmtId="38" fontId="187" fillId="0" borderId="1" xfId="0" applyNumberFormat="1" applyFont="1" applyBorder="1" applyAlignment="1">
      <alignment horizontal="center" vertical="center" wrapText="1"/>
    </xf>
    <xf numFmtId="3" fontId="188" fillId="0" borderId="13" xfId="1" applyNumberFormat="1" applyFont="1" applyBorder="1" applyAlignment="1">
      <alignment horizontal="center" vertical="center"/>
    </xf>
    <xf numFmtId="3" fontId="188" fillId="0" borderId="5" xfId="1" applyNumberFormat="1" applyFont="1" applyBorder="1" applyAlignment="1">
      <alignment horizontal="center" vertical="center"/>
    </xf>
    <xf numFmtId="3" fontId="188" fillId="0" borderId="14" xfId="1" applyNumberFormat="1" applyFont="1" applyBorder="1" applyAlignment="1">
      <alignment horizontal="center" vertical="center"/>
    </xf>
    <xf numFmtId="3" fontId="188" fillId="0" borderId="6" xfId="1" applyNumberFormat="1" applyFont="1" applyBorder="1" applyAlignment="1">
      <alignment horizontal="center" vertical="center"/>
    </xf>
    <xf numFmtId="3" fontId="188" fillId="0" borderId="5" xfId="1" applyNumberFormat="1" applyFont="1" applyBorder="1" applyAlignment="1">
      <alignment horizontal="center" vertical="center" wrapText="1"/>
    </xf>
    <xf numFmtId="3" fontId="188" fillId="0" borderId="14" xfId="1" applyNumberFormat="1" applyFont="1" applyBorder="1" applyAlignment="1">
      <alignment horizontal="center" vertical="center" wrapText="1"/>
    </xf>
    <xf numFmtId="3" fontId="188" fillId="0" borderId="6" xfId="1" applyNumberFormat="1" applyFont="1" applyBorder="1" applyAlignment="1">
      <alignment horizontal="center" vertical="center" wrapText="1"/>
    </xf>
    <xf numFmtId="0" fontId="165" fillId="0" borderId="6" xfId="0" applyFont="1" applyBorder="1" applyAlignment="1">
      <alignment horizontal="center" vertical="center"/>
    </xf>
    <xf numFmtId="3" fontId="181" fillId="0" borderId="1" xfId="1" applyNumberFormat="1" applyFont="1" applyBorder="1" applyAlignment="1">
      <alignment horizontal="center" vertical="center" wrapText="1"/>
    </xf>
    <xf numFmtId="3" fontId="181" fillId="0" borderId="1" xfId="32" applyNumberFormat="1" applyFont="1" applyBorder="1" applyAlignment="1">
      <alignment horizontal="center" vertical="center" wrapText="1"/>
    </xf>
    <xf numFmtId="0" fontId="161" fillId="0" borderId="1" xfId="0" applyFont="1" applyBorder="1"/>
    <xf numFmtId="0" fontId="161" fillId="0" borderId="49" xfId="0" applyFont="1" applyBorder="1"/>
    <xf numFmtId="164" fontId="156" fillId="0" borderId="1" xfId="1" applyNumberFormat="1" applyFont="1" applyBorder="1" applyAlignment="1">
      <alignment horizontal="right" vertical="center" wrapText="1" indent="1"/>
    </xf>
    <xf numFmtId="166" fontId="170" fillId="3" borderId="1" xfId="2" applyNumberFormat="1" applyFont="1" applyFill="1" applyBorder="1" applyAlignment="1">
      <alignment horizontal="center" vertical="center" wrapText="1"/>
    </xf>
    <xf numFmtId="3" fontId="170" fillId="3" borderId="1" xfId="14" applyNumberFormat="1" applyFont="1" applyFill="1" applyBorder="1" applyAlignment="1">
      <alignment horizontal="center" vertical="center"/>
    </xf>
    <xf numFmtId="3" fontId="170" fillId="3" borderId="1" xfId="0" applyNumberFormat="1" applyFont="1" applyFill="1" applyBorder="1" applyAlignment="1">
      <alignment horizontal="center" vertical="center"/>
    </xf>
    <xf numFmtId="3" fontId="152" fillId="0" borderId="13" xfId="0" applyNumberFormat="1" applyFont="1" applyBorder="1" applyAlignment="1">
      <alignment horizontal="center" vertical="center"/>
    </xf>
    <xf numFmtId="3" fontId="189" fillId="0" borderId="5" xfId="0" applyNumberFormat="1" applyFont="1" applyBorder="1" applyAlignment="1">
      <alignment horizontal="center" vertical="center"/>
    </xf>
    <xf numFmtId="3" fontId="189" fillId="0" borderId="13" xfId="0" applyNumberFormat="1" applyFont="1" applyBorder="1" applyAlignment="1">
      <alignment horizontal="center" vertical="center"/>
    </xf>
    <xf numFmtId="3" fontId="189" fillId="0" borderId="6" xfId="0" applyNumberFormat="1" applyFont="1" applyBorder="1" applyAlignment="1">
      <alignment horizontal="center" vertical="center"/>
    </xf>
    <xf numFmtId="3" fontId="151" fillId="0" borderId="1" xfId="0" applyNumberFormat="1" applyFont="1" applyBorder="1" applyAlignment="1">
      <alignment horizontal="center" vertical="center"/>
    </xf>
    <xf numFmtId="164" fontId="180" fillId="0" borderId="68" xfId="1" applyNumberFormat="1" applyFont="1" applyBorder="1" applyAlignment="1">
      <alignment horizontal="center" vertical="center" wrapText="1"/>
    </xf>
    <xf numFmtId="164" fontId="159" fillId="0" borderId="13" xfId="1" applyNumberFormat="1" applyFont="1" applyBorder="1" applyAlignment="1">
      <alignment horizontal="right" vertical="center" wrapText="1" indent="1"/>
    </xf>
    <xf numFmtId="0" fontId="159" fillId="0" borderId="13" xfId="0" applyFont="1" applyBorder="1" applyAlignment="1">
      <alignment horizontal="center" vertical="center"/>
    </xf>
    <xf numFmtId="164" fontId="180" fillId="0" borderId="36" xfId="1" applyNumberFormat="1" applyFont="1" applyBorder="1" applyAlignment="1">
      <alignment horizontal="center" vertical="center" wrapText="1"/>
    </xf>
    <xf numFmtId="0" fontId="156" fillId="0" borderId="5" xfId="0" applyFont="1" applyBorder="1" applyAlignment="1">
      <alignment horizontal="center" vertical="center"/>
    </xf>
    <xf numFmtId="164" fontId="180" fillId="0" borderId="70" xfId="1" applyNumberFormat="1" applyFont="1" applyBorder="1" applyAlignment="1">
      <alignment horizontal="center" vertical="center" wrapText="1"/>
    </xf>
    <xf numFmtId="0" fontId="156" fillId="0" borderId="6" xfId="0" applyFont="1" applyBorder="1" applyAlignment="1">
      <alignment horizontal="center" vertical="center"/>
    </xf>
    <xf numFmtId="3" fontId="180" fillId="0" borderId="13" xfId="0" applyNumberFormat="1" applyFont="1" applyBorder="1" applyAlignment="1">
      <alignment horizontal="center" vertical="center" wrapText="1"/>
    </xf>
    <xf numFmtId="3" fontId="159" fillId="0" borderId="13" xfId="1" applyNumberFormat="1" applyFont="1" applyBorder="1" applyAlignment="1">
      <alignment horizontal="right" vertical="center" wrapText="1" indent="1"/>
    </xf>
    <xf numFmtId="3" fontId="180" fillId="0" borderId="5" xfId="0" applyNumberFormat="1" applyFont="1" applyBorder="1" applyAlignment="1">
      <alignment horizontal="center" vertical="center" wrapText="1"/>
    </xf>
    <xf numFmtId="3" fontId="159" fillId="0" borderId="5" xfId="1" applyNumberFormat="1" applyFont="1" applyBorder="1" applyAlignment="1">
      <alignment horizontal="right" vertical="center" wrapText="1" indent="1"/>
    </xf>
    <xf numFmtId="3" fontId="180" fillId="0" borderId="6" xfId="0" applyNumberFormat="1" applyFont="1" applyBorder="1" applyAlignment="1">
      <alignment horizontal="center" vertical="center" wrapText="1"/>
    </xf>
    <xf numFmtId="3" fontId="159" fillId="0" borderId="6" xfId="1" applyNumberFormat="1" applyFont="1" applyBorder="1" applyAlignment="1">
      <alignment horizontal="right" vertical="center" wrapText="1" indent="1"/>
    </xf>
    <xf numFmtId="3" fontId="180" fillId="0" borderId="12" xfId="0" applyNumberFormat="1" applyFont="1" applyBorder="1" applyAlignment="1">
      <alignment horizontal="center" vertical="center" wrapText="1"/>
    </xf>
    <xf numFmtId="3" fontId="180" fillId="0" borderId="1" xfId="0" applyNumberFormat="1" applyFont="1" applyBorder="1" applyAlignment="1">
      <alignment horizontal="center" vertical="center" wrapText="1"/>
    </xf>
    <xf numFmtId="3" fontId="180" fillId="0" borderId="54" xfId="1" applyNumberFormat="1" applyFont="1" applyBorder="1" applyAlignment="1">
      <alignment horizontal="center" vertical="center" wrapText="1"/>
    </xf>
    <xf numFmtId="3" fontId="159" fillId="0" borderId="12" xfId="1" applyNumberFormat="1" applyFont="1" applyBorder="1" applyAlignment="1">
      <alignment horizontal="right" vertical="center" wrapText="1" indent="1"/>
    </xf>
    <xf numFmtId="3" fontId="152" fillId="0" borderId="1" xfId="1" applyNumberFormat="1" applyFont="1" applyBorder="1" applyAlignment="1">
      <alignment horizontal="center" vertical="center"/>
    </xf>
    <xf numFmtId="3" fontId="151" fillId="0" borderId="13" xfId="1" applyNumberFormat="1" applyFont="1" applyBorder="1" applyAlignment="1">
      <alignment horizontal="center" vertical="center"/>
    </xf>
    <xf numFmtId="3" fontId="151" fillId="0" borderId="5" xfId="1" applyNumberFormat="1" applyFont="1" applyBorder="1" applyAlignment="1">
      <alignment horizontal="center" vertical="center"/>
    </xf>
    <xf numFmtId="3" fontId="151" fillId="0" borderId="6" xfId="1" applyNumberFormat="1" applyFont="1" applyBorder="1" applyAlignment="1">
      <alignment horizontal="center" vertical="center"/>
    </xf>
    <xf numFmtId="3" fontId="153" fillId="0" borderId="1" xfId="14" applyNumberFormat="1" applyFont="1" applyBorder="1" applyAlignment="1">
      <alignment horizontal="center" vertical="center"/>
    </xf>
    <xf numFmtId="3" fontId="154" fillId="0" borderId="1" xfId="14" applyNumberFormat="1" applyFont="1" applyBorder="1"/>
    <xf numFmtId="3" fontId="186" fillId="0" borderId="1" xfId="14" applyNumberFormat="1" applyFont="1" applyBorder="1" applyAlignment="1">
      <alignment horizontal="center" vertical="center"/>
    </xf>
    <xf numFmtId="0" fontId="154" fillId="0" borderId="1" xfId="14" applyFont="1" applyBorder="1"/>
    <xf numFmtId="3" fontId="190" fillId="0" borderId="1" xfId="14" applyNumberFormat="1" applyFont="1" applyBorder="1" applyAlignment="1">
      <alignment horizontal="center" vertical="center"/>
    </xf>
    <xf numFmtId="3" fontId="188" fillId="0" borderId="13" xfId="1" applyNumberFormat="1" applyFont="1" applyBorder="1" applyAlignment="1">
      <alignment horizontal="center" vertical="center" wrapText="1"/>
    </xf>
    <xf numFmtId="1" fontId="188" fillId="0" borderId="13" xfId="0" applyNumberFormat="1" applyFont="1" applyBorder="1" applyAlignment="1">
      <alignment horizontal="center" vertical="center"/>
    </xf>
    <xf numFmtId="3" fontId="188" fillId="0" borderId="5" xfId="0" applyNumberFormat="1" applyFont="1" applyBorder="1" applyAlignment="1">
      <alignment horizontal="center" vertical="center" wrapText="1"/>
    </xf>
    <xf numFmtId="1" fontId="188" fillId="0" borderId="5" xfId="0" applyNumberFormat="1" applyFont="1" applyBorder="1" applyAlignment="1">
      <alignment horizontal="center" vertical="center"/>
    </xf>
    <xf numFmtId="3" fontId="188" fillId="0" borderId="13" xfId="32" applyNumberFormat="1" applyFont="1" applyBorder="1" applyAlignment="1">
      <alignment horizontal="center" vertical="center" wrapText="1"/>
    </xf>
    <xf numFmtId="3" fontId="188" fillId="0" borderId="5" xfId="32" applyNumberFormat="1" applyFont="1" applyBorder="1" applyAlignment="1">
      <alignment horizontal="center" vertical="center" wrapText="1"/>
    </xf>
    <xf numFmtId="3" fontId="188" fillId="0" borderId="14" xfId="32" applyNumberFormat="1" applyFont="1" applyBorder="1" applyAlignment="1">
      <alignment horizontal="center" vertical="center" wrapText="1"/>
    </xf>
    <xf numFmtId="3" fontId="188" fillId="0" borderId="13" xfId="0" applyNumberFormat="1" applyFont="1" applyBorder="1" applyAlignment="1">
      <alignment horizontal="center" vertical="center"/>
    </xf>
    <xf numFmtId="3" fontId="188" fillId="0" borderId="5" xfId="0" applyNumberFormat="1" applyFont="1" applyBorder="1" applyAlignment="1">
      <alignment horizontal="center" vertical="center"/>
    </xf>
    <xf numFmtId="38" fontId="187" fillId="0" borderId="1" xfId="0" applyNumberFormat="1" applyFont="1" applyBorder="1" applyAlignment="1">
      <alignment vertical="center" wrapText="1"/>
    </xf>
    <xf numFmtId="38" fontId="188" fillId="0" borderId="13" xfId="0" applyNumberFormat="1" applyFont="1" applyBorder="1" applyAlignment="1">
      <alignment horizontal="center" vertical="center" wrapText="1"/>
    </xf>
    <xf numFmtId="38" fontId="188" fillId="0" borderId="5" xfId="0" applyNumberFormat="1" applyFont="1" applyBorder="1" applyAlignment="1">
      <alignment horizontal="center" vertical="center" wrapText="1"/>
    </xf>
    <xf numFmtId="38" fontId="188" fillId="0" borderId="14" xfId="0" applyNumberFormat="1" applyFont="1" applyBorder="1" applyAlignment="1">
      <alignment horizontal="center" vertical="center" wrapText="1"/>
    </xf>
    <xf numFmtId="38" fontId="190" fillId="0" borderId="1" xfId="0" applyNumberFormat="1" applyFont="1" applyBorder="1" applyAlignment="1">
      <alignment horizontal="center" vertical="center" wrapText="1"/>
    </xf>
    <xf numFmtId="38" fontId="191" fillId="0" borderId="1" xfId="0" applyNumberFormat="1" applyFont="1" applyBorder="1" applyAlignment="1">
      <alignment horizontal="center" vertical="center" wrapText="1"/>
    </xf>
    <xf numFmtId="3" fontId="170" fillId="0" borderId="1" xfId="0" applyNumberFormat="1" applyFont="1" applyBorder="1" applyAlignment="1">
      <alignment horizontal="center" vertical="center"/>
    </xf>
    <xf numFmtId="0" fontId="161" fillId="0" borderId="1" xfId="14" applyFont="1" applyBorder="1"/>
    <xf numFmtId="3" fontId="153" fillId="0" borderId="49" xfId="14" applyNumberFormat="1" applyFont="1" applyBorder="1" applyAlignment="1">
      <alignment horizontal="center" vertical="center"/>
    </xf>
    <xf numFmtId="3" fontId="165" fillId="0" borderId="1" xfId="32" applyNumberFormat="1" applyFont="1" applyBorder="1" applyAlignment="1">
      <alignment vertical="center" wrapText="1"/>
    </xf>
    <xf numFmtId="38" fontId="170" fillId="0" borderId="51" xfId="0" applyNumberFormat="1" applyFont="1" applyBorder="1" applyAlignment="1">
      <alignment horizontal="center" vertical="center" wrapText="1"/>
    </xf>
    <xf numFmtId="3" fontId="170" fillId="0" borderId="1" xfId="32" applyNumberFormat="1" applyFont="1" applyBorder="1" applyAlignment="1">
      <alignment horizontal="center" vertical="center" wrapText="1"/>
    </xf>
    <xf numFmtId="3" fontId="171" fillId="0" borderId="1" xfId="32" applyNumberFormat="1" applyFont="1" applyBorder="1" applyAlignment="1">
      <alignment horizontal="center" vertical="center" wrapText="1"/>
    </xf>
    <xf numFmtId="0" fontId="154" fillId="0" borderId="1" xfId="0" applyFont="1" applyBorder="1"/>
    <xf numFmtId="0" fontId="154" fillId="0" borderId="49" xfId="0" applyFont="1" applyBorder="1"/>
    <xf numFmtId="3" fontId="161" fillId="0" borderId="1" xfId="0" applyNumberFormat="1" applyFont="1" applyBorder="1"/>
    <xf numFmtId="3" fontId="161" fillId="0" borderId="49" xfId="0" applyNumberFormat="1" applyFont="1" applyBorder="1"/>
    <xf numFmtId="38" fontId="170" fillId="0" borderId="1" xfId="0" applyNumberFormat="1" applyFont="1" applyBorder="1" applyAlignment="1">
      <alignment horizontal="center" vertical="center" wrapText="1"/>
    </xf>
    <xf numFmtId="0" fontId="161" fillId="0" borderId="3" xfId="0" applyFont="1" applyBorder="1"/>
    <xf numFmtId="38" fontId="153" fillId="0" borderId="0" xfId="0" applyNumberFormat="1" applyFont="1" applyAlignment="1">
      <alignment horizontal="center" vertical="center"/>
    </xf>
    <xf numFmtId="0" fontId="161" fillId="0" borderId="0" xfId="0" applyFont="1" applyAlignment="1">
      <alignment horizontal="center" vertical="center"/>
    </xf>
    <xf numFmtId="38" fontId="170" fillId="0" borderId="9" xfId="11" applyNumberFormat="1" applyFont="1" applyBorder="1" applyAlignment="1">
      <alignment horizontal="center" vertical="center"/>
    </xf>
    <xf numFmtId="0" fontId="161" fillId="0" borderId="9" xfId="0" applyFont="1" applyBorder="1"/>
    <xf numFmtId="0" fontId="176" fillId="0" borderId="1" xfId="0" applyFont="1" applyBorder="1" applyAlignment="1">
      <alignment horizontal="center" vertical="center"/>
    </xf>
    <xf numFmtId="0" fontId="161" fillId="0" borderId="10" xfId="0" applyFont="1" applyBorder="1"/>
    <xf numFmtId="0" fontId="156" fillId="0" borderId="11" xfId="0" applyFont="1" applyBorder="1" applyAlignment="1">
      <alignment horizontal="center" vertical="center" wrapText="1"/>
    </xf>
    <xf numFmtId="0" fontId="161" fillId="0" borderId="4" xfId="0" applyFont="1" applyBorder="1"/>
    <xf numFmtId="38" fontId="181" fillId="0" borderId="1" xfId="0" applyNumberFormat="1" applyFont="1" applyBorder="1" applyAlignment="1">
      <alignment horizontal="center" vertical="center" wrapText="1"/>
    </xf>
    <xf numFmtId="0" fontId="161" fillId="0" borderId="12" xfId="0" applyFont="1" applyBorder="1"/>
    <xf numFmtId="0" fontId="156" fillId="0" borderId="1" xfId="0" applyFont="1" applyBorder="1" applyAlignment="1">
      <alignment horizontal="center" vertical="center" wrapText="1"/>
    </xf>
    <xf numFmtId="0" fontId="159" fillId="0" borderId="47" xfId="11" applyFont="1" applyBorder="1" applyAlignment="1">
      <alignment horizontal="center" vertical="center"/>
    </xf>
    <xf numFmtId="0" fontId="161" fillId="0" borderId="47" xfId="0" applyFont="1" applyBorder="1"/>
    <xf numFmtId="0" fontId="161" fillId="0" borderId="50" xfId="0" applyFont="1" applyBorder="1"/>
    <xf numFmtId="0" fontId="159" fillId="0" borderId="38" xfId="11" applyFont="1" applyBorder="1" applyAlignment="1">
      <alignment horizontal="center" vertical="center"/>
    </xf>
    <xf numFmtId="0" fontId="161" fillId="0" borderId="1" xfId="0" applyFont="1" applyBorder="1"/>
    <xf numFmtId="49" fontId="170" fillId="3" borderId="1" xfId="1" applyNumberFormat="1" applyFont="1" applyFill="1" applyBorder="1" applyAlignment="1">
      <alignment horizontal="center" vertical="center" wrapText="1"/>
    </xf>
    <xf numFmtId="38" fontId="170" fillId="3" borderId="1" xfId="14" applyNumberFormat="1" applyFont="1" applyFill="1" applyBorder="1" applyAlignment="1">
      <alignment horizontal="left" vertical="center" wrapText="1" indent="1"/>
    </xf>
    <xf numFmtId="164" fontId="159" fillId="0" borderId="1" xfId="12" applyNumberFormat="1" applyFont="1" applyBorder="1" applyAlignment="1">
      <alignment horizontal="center"/>
    </xf>
    <xf numFmtId="0" fontId="161" fillId="0" borderId="49" xfId="0" applyFont="1" applyBorder="1"/>
    <xf numFmtId="0" fontId="159" fillId="0" borderId="87" xfId="11" applyFont="1" applyBorder="1" applyAlignment="1">
      <alignment horizontal="center" vertical="center"/>
    </xf>
    <xf numFmtId="0" fontId="159" fillId="0" borderId="38" xfId="11" applyFont="1" applyBorder="1" applyAlignment="1">
      <alignment horizontal="center"/>
    </xf>
    <xf numFmtId="38" fontId="181" fillId="0" borderId="93" xfId="0" applyNumberFormat="1" applyFont="1" applyBorder="1" applyAlignment="1">
      <alignment horizontal="center" vertical="center" wrapText="1"/>
    </xf>
    <xf numFmtId="38" fontId="181" fillId="0" borderId="77" xfId="0" applyNumberFormat="1" applyFont="1" applyBorder="1" applyAlignment="1">
      <alignment horizontal="center" vertical="center" wrapText="1"/>
    </xf>
    <xf numFmtId="38" fontId="181" fillId="0" borderId="51" xfId="0" applyNumberFormat="1" applyFont="1" applyBorder="1" applyAlignment="1">
      <alignment horizontal="center" vertical="center" wrapText="1"/>
    </xf>
    <xf numFmtId="38" fontId="165" fillId="0" borderId="93" xfId="0" applyNumberFormat="1" applyFont="1" applyBorder="1" applyAlignment="1">
      <alignment horizontal="center" vertical="center" wrapText="1"/>
    </xf>
    <xf numFmtId="38" fontId="165" fillId="0" borderId="77" xfId="0" applyNumberFormat="1" applyFont="1" applyBorder="1" applyAlignment="1">
      <alignment horizontal="center" vertical="center" wrapText="1"/>
    </xf>
    <xf numFmtId="38" fontId="165" fillId="0" borderId="51" xfId="0" applyNumberFormat="1" applyFont="1" applyBorder="1" applyAlignment="1">
      <alignment horizontal="center" vertical="center" wrapText="1"/>
    </xf>
    <xf numFmtId="0" fontId="158" fillId="0" borderId="0" xfId="0" applyFont="1" applyAlignment="1">
      <alignment horizontal="center" vertical="center"/>
    </xf>
    <xf numFmtId="0" fontId="177" fillId="0" borderId="0" xfId="0" applyFont="1" applyAlignment="1">
      <alignment vertical="center"/>
    </xf>
    <xf numFmtId="0" fontId="174" fillId="0" borderId="0" xfId="11" applyFont="1" applyAlignment="1">
      <alignment horizontal="center" vertical="center"/>
    </xf>
    <xf numFmtId="0" fontId="177" fillId="0" borderId="0" xfId="0" applyFont="1"/>
    <xf numFmtId="165" fontId="156" fillId="0" borderId="38" xfId="0" applyNumberFormat="1" applyFont="1" applyBorder="1" applyAlignment="1">
      <alignment horizontal="center" vertical="center" wrapText="1"/>
    </xf>
    <xf numFmtId="0" fontId="176" fillId="3" borderId="81" xfId="0" applyFont="1" applyFill="1" applyBorder="1" applyAlignment="1">
      <alignment horizontal="left" vertical="center" indent="3"/>
    </xf>
    <xf numFmtId="0" fontId="161" fillId="3" borderId="88" xfId="0" applyFont="1" applyFill="1" applyBorder="1"/>
    <xf numFmtId="38" fontId="170" fillId="53" borderId="1" xfId="0" applyNumberFormat="1" applyFont="1" applyFill="1" applyBorder="1" applyAlignment="1">
      <alignment horizontal="left" vertical="center" wrapText="1" indent="1"/>
    </xf>
    <xf numFmtId="0" fontId="161" fillId="53" borderId="1" xfId="0" applyFont="1" applyFill="1" applyBorder="1"/>
    <xf numFmtId="0" fontId="176" fillId="0" borderId="0" xfId="11" applyFont="1" applyAlignment="1">
      <alignment horizontal="center" vertical="center"/>
    </xf>
    <xf numFmtId="3" fontId="165" fillId="0" borderId="1" xfId="1" applyNumberFormat="1" applyFont="1" applyBorder="1" applyAlignment="1">
      <alignment horizontal="center" vertical="center" wrapText="1"/>
    </xf>
    <xf numFmtId="3" fontId="168" fillId="0" borderId="1" xfId="0" applyNumberFormat="1" applyFont="1" applyBorder="1" applyAlignment="1">
      <alignment horizontal="left" vertical="center" wrapText="1" indent="5"/>
    </xf>
    <xf numFmtId="0" fontId="163" fillId="0" borderId="1" xfId="0" applyFont="1" applyBorder="1" applyAlignment="1">
      <alignment horizontal="left" indent="5"/>
    </xf>
    <xf numFmtId="0" fontId="163" fillId="0" borderId="49" xfId="0" applyFont="1" applyBorder="1" applyAlignment="1">
      <alignment horizontal="left" indent="5"/>
    </xf>
    <xf numFmtId="38" fontId="156" fillId="0" borderId="1" xfId="0" applyNumberFormat="1" applyFont="1" applyBorder="1" applyAlignment="1">
      <alignment horizontal="center" vertical="center" wrapText="1"/>
    </xf>
    <xf numFmtId="0" fontId="151" fillId="0" borderId="1" xfId="0" applyFont="1" applyBorder="1" applyAlignment="1">
      <alignment horizontal="center"/>
    </xf>
    <xf numFmtId="38" fontId="168" fillId="0" borderId="1" xfId="0" applyNumberFormat="1" applyFont="1" applyBorder="1" applyAlignment="1">
      <alignment horizontal="left" vertical="center" wrapText="1" indent="1"/>
    </xf>
    <xf numFmtId="0" fontId="163" fillId="0" borderId="1" xfId="0" applyFont="1" applyBorder="1" applyAlignment="1">
      <alignment horizontal="left" indent="1"/>
    </xf>
    <xf numFmtId="0" fontId="163" fillId="0" borderId="49" xfId="0" applyFont="1" applyBorder="1" applyAlignment="1">
      <alignment horizontal="left" indent="1"/>
    </xf>
    <xf numFmtId="165" fontId="156" fillId="0" borderId="1" xfId="0" applyNumberFormat="1" applyFont="1" applyBorder="1" applyAlignment="1">
      <alignment horizontal="center" vertical="center" wrapText="1"/>
    </xf>
    <xf numFmtId="38" fontId="156" fillId="0" borderId="38" xfId="0" applyNumberFormat="1" applyFont="1" applyBorder="1" applyAlignment="1">
      <alignment horizontal="center" vertical="center" wrapText="1"/>
    </xf>
    <xf numFmtId="0" fontId="161" fillId="0" borderId="38" xfId="0" applyFont="1" applyBorder="1"/>
    <xf numFmtId="3" fontId="163" fillId="0" borderId="1" xfId="0" applyNumberFormat="1" applyFont="1" applyBorder="1" applyAlignment="1">
      <alignment horizontal="left" vertical="center" indent="5"/>
    </xf>
    <xf numFmtId="38" fontId="170" fillId="3" borderId="1" xfId="0" applyNumberFormat="1" applyFont="1" applyFill="1" applyBorder="1" applyAlignment="1">
      <alignment horizontal="left" vertical="center" wrapText="1" indent="1"/>
    </xf>
    <xf numFmtId="0" fontId="161" fillId="3" borderId="1" xfId="0" applyFont="1" applyFill="1" applyBorder="1"/>
    <xf numFmtId="3" fontId="163" fillId="0" borderId="1" xfId="1" applyNumberFormat="1" applyFont="1" applyBorder="1" applyAlignment="1">
      <alignment horizontal="left" vertical="center" indent="5"/>
    </xf>
    <xf numFmtId="38" fontId="170" fillId="0" borderId="1" xfId="14" applyNumberFormat="1" applyFont="1" applyBorder="1" applyAlignment="1">
      <alignment horizontal="center" vertical="center" wrapText="1"/>
    </xf>
    <xf numFmtId="164" fontId="159" fillId="0" borderId="1" xfId="12" applyNumberFormat="1" applyFont="1" applyBorder="1" applyAlignment="1">
      <alignment horizontal="center" vertical="center"/>
    </xf>
    <xf numFmtId="3" fontId="165" fillId="0" borderId="1" xfId="0" applyNumberFormat="1" applyFont="1" applyBorder="1" applyAlignment="1">
      <alignment horizontal="left" vertical="center" wrapText="1"/>
    </xf>
    <xf numFmtId="0" fontId="176" fillId="0" borderId="38" xfId="11" applyFont="1" applyBorder="1" applyAlignment="1">
      <alignment horizontal="left" vertical="center" indent="3"/>
    </xf>
    <xf numFmtId="0" fontId="156" fillId="0" borderId="38" xfId="0" applyFont="1" applyBorder="1" applyAlignment="1">
      <alignment horizontal="center" vertical="center" wrapText="1"/>
    </xf>
    <xf numFmtId="38" fontId="170" fillId="3" borderId="1" xfId="11" applyNumberFormat="1" applyFont="1" applyFill="1" applyBorder="1" applyAlignment="1">
      <alignment horizontal="left" vertical="center" wrapText="1" indent="1"/>
    </xf>
    <xf numFmtId="0" fontId="167" fillId="0" borderId="40" xfId="0" applyFont="1" applyBorder="1" applyAlignment="1">
      <alignment horizontal="left" vertical="center" wrapText="1"/>
    </xf>
    <xf numFmtId="0" fontId="0" fillId="0" borderId="85" xfId="0" applyBorder="1"/>
    <xf numFmtId="0" fontId="0" fillId="0" borderId="39" xfId="0" applyBorder="1"/>
    <xf numFmtId="0" fontId="163" fillId="0" borderId="40" xfId="0" applyFont="1" applyBorder="1" applyAlignment="1">
      <alignment horizontal="left" vertical="center" wrapText="1"/>
    </xf>
    <xf numFmtId="0" fontId="164" fillId="0" borderId="44" xfId="0" applyFont="1" applyBorder="1" applyAlignment="1">
      <alignment horizontal="left" vertical="center" indent="1"/>
    </xf>
    <xf numFmtId="0" fontId="0" fillId="0" borderId="83" xfId="0" applyBorder="1"/>
    <xf numFmtId="0" fontId="0" fillId="0" borderId="84" xfId="0" applyBorder="1"/>
    <xf numFmtId="0" fontId="164" fillId="0" borderId="5" xfId="0" applyFont="1" applyBorder="1" applyAlignment="1">
      <alignment horizontal="center" vertical="center"/>
    </xf>
    <xf numFmtId="0" fontId="0" fillId="0" borderId="15" xfId="0" applyBorder="1"/>
    <xf numFmtId="0" fontId="0" fillId="0" borderId="36" xfId="0" applyBorder="1"/>
    <xf numFmtId="0" fontId="164" fillId="0" borderId="7" xfId="0" applyFont="1" applyBorder="1" applyAlignment="1">
      <alignment horizontal="left" vertical="center" indent="1"/>
    </xf>
    <xf numFmtId="0" fontId="0" fillId="0" borderId="66" xfId="0" applyBorder="1"/>
    <xf numFmtId="0" fontId="0" fillId="0" borderId="86" xfId="0" applyBorder="1"/>
    <xf numFmtId="0" fontId="156" fillId="51" borderId="38" xfId="0" applyFont="1" applyFill="1" applyBorder="1" applyAlignment="1">
      <alignment horizontal="left" vertical="center" wrapText="1" indent="3"/>
    </xf>
    <xf numFmtId="0" fontId="0" fillId="0" borderId="10" xfId="0" applyBorder="1"/>
    <xf numFmtId="0" fontId="0" fillId="0" borderId="3" xfId="0" applyBorder="1"/>
    <xf numFmtId="0" fontId="156" fillId="3" borderId="76" xfId="0" applyFont="1" applyFill="1" applyBorder="1" applyAlignment="1">
      <alignment horizontal="center" vertical="center" wrapText="1"/>
    </xf>
    <xf numFmtId="0" fontId="0" fillId="0" borderId="12" xfId="0" applyBorder="1"/>
    <xf numFmtId="0" fontId="159" fillId="0" borderId="0" xfId="0" applyFont="1" applyAlignment="1">
      <alignment horizontal="left" vertical="center" wrapText="1" indent="1"/>
    </xf>
    <xf numFmtId="0" fontId="159" fillId="0" borderId="0" xfId="0" applyFont="1" applyAlignment="1">
      <alignment horizontal="center" vertical="center" wrapText="1"/>
    </xf>
    <xf numFmtId="0" fontId="170" fillId="0" borderId="87" xfId="0" applyFont="1" applyBorder="1" applyAlignment="1">
      <alignment horizontal="center" vertical="center" wrapText="1"/>
    </xf>
    <xf numFmtId="0" fontId="0" fillId="0" borderId="45" xfId="0" applyBorder="1"/>
    <xf numFmtId="0" fontId="0" fillId="0" borderId="46" xfId="0" applyBorder="1"/>
    <xf numFmtId="0" fontId="156" fillId="3" borderId="88" xfId="0" applyFont="1" applyFill="1" applyBorder="1" applyAlignment="1">
      <alignment horizontal="center" vertical="center" wrapText="1"/>
    </xf>
    <xf numFmtId="0" fontId="0" fillId="0" borderId="89" xfId="0" applyBorder="1"/>
    <xf numFmtId="0" fontId="0" fillId="0" borderId="90" xfId="0" applyBorder="1"/>
    <xf numFmtId="0" fontId="159" fillId="0" borderId="0" xfId="0" applyFont="1" applyAlignment="1">
      <alignment horizontal="right" vertical="center" wrapText="1"/>
    </xf>
    <xf numFmtId="0" fontId="156" fillId="0" borderId="0" xfId="0" applyFont="1" applyAlignment="1">
      <alignment horizontal="right" vertical="center" wrapText="1"/>
    </xf>
    <xf numFmtId="0" fontId="0" fillId="0" borderId="80" xfId="0" applyBorder="1"/>
    <xf numFmtId="0" fontId="156" fillId="3" borderId="82" xfId="0" applyFont="1" applyFill="1" applyBorder="1" applyAlignment="1">
      <alignment horizontal="center" vertical="center" wrapText="1"/>
    </xf>
    <xf numFmtId="0" fontId="0" fillId="0" borderId="52" xfId="0" applyBorder="1"/>
    <xf numFmtId="0" fontId="159" fillId="0" borderId="38" xfId="0" applyFont="1" applyBorder="1" applyAlignment="1">
      <alignment horizontal="center" vertical="center" wrapText="1"/>
    </xf>
    <xf numFmtId="0" fontId="0" fillId="0" borderId="51" xfId="0" applyBorder="1"/>
    <xf numFmtId="0" fontId="156" fillId="3" borderId="81" xfId="1394" applyFont="1" applyFill="1" applyBorder="1" applyAlignment="1">
      <alignment horizontal="center" vertical="center" wrapText="1"/>
    </xf>
    <xf numFmtId="0" fontId="0" fillId="0" borderId="79" xfId="0" applyBorder="1"/>
    <xf numFmtId="0" fontId="156" fillId="52" borderId="76" xfId="1394" applyFont="1" applyFill="1" applyBorder="1" applyAlignment="1">
      <alignment horizontal="center" vertical="center" wrapText="1"/>
    </xf>
    <xf numFmtId="0" fontId="156" fillId="0" borderId="0" xfId="1394" applyFont="1" applyAlignment="1">
      <alignment horizontal="left" vertical="center" wrapText="1" indent="8"/>
    </xf>
    <xf numFmtId="0" fontId="151" fillId="0" borderId="0" xfId="1394" applyFont="1" applyAlignment="1">
      <alignment horizontal="center" vertical="center"/>
    </xf>
    <xf numFmtId="0" fontId="156" fillId="3" borderId="76" xfId="1394" applyFont="1" applyFill="1" applyBorder="1" applyAlignment="1">
      <alignment horizontal="center" vertical="center" wrapText="1"/>
    </xf>
    <xf numFmtId="0" fontId="151" fillId="0" borderId="1" xfId="0" applyFont="1" applyBorder="1" applyAlignment="1">
      <alignment horizontal="center" vertical="center"/>
    </xf>
    <xf numFmtId="0" fontId="153" fillId="0" borderId="1" xfId="0" applyFont="1" applyBorder="1" applyAlignment="1">
      <alignment horizontal="center" vertical="center"/>
    </xf>
    <xf numFmtId="0" fontId="151" fillId="0" borderId="5" xfId="0" applyFont="1" applyBorder="1" applyAlignment="1">
      <alignment horizontal="left" vertical="center"/>
    </xf>
    <xf numFmtId="0" fontId="152" fillId="0" borderId="1" xfId="0" applyFont="1" applyBorder="1" applyAlignment="1">
      <alignment horizontal="center" vertical="center"/>
    </xf>
    <xf numFmtId="0" fontId="151" fillId="0" borderId="5" xfId="0" applyFont="1" applyBorder="1" applyAlignment="1">
      <alignment horizontal="center" vertical="center"/>
    </xf>
    <xf numFmtId="0" fontId="151" fillId="0" borderId="6" xfId="0" applyFont="1" applyBorder="1" applyAlignment="1">
      <alignment horizontal="center" vertical="center"/>
    </xf>
    <xf numFmtId="0" fontId="0" fillId="0" borderId="70" xfId="0" applyBorder="1"/>
    <xf numFmtId="3" fontId="151" fillId="0" borderId="40" xfId="0" applyNumberFormat="1" applyFont="1" applyBorder="1" applyAlignment="1">
      <alignment horizontal="center" vertical="center"/>
    </xf>
    <xf numFmtId="0" fontId="0" fillId="0" borderId="63" xfId="0" applyBorder="1"/>
    <xf numFmtId="0" fontId="151" fillId="0" borderId="7" xfId="0" applyFont="1" applyBorder="1" applyAlignment="1">
      <alignment horizontal="left" vertical="center"/>
    </xf>
    <xf numFmtId="0" fontId="0" fillId="0" borderId="4" xfId="0" applyBorder="1"/>
    <xf numFmtId="0" fontId="152" fillId="0" borderId="5" xfId="0" applyFont="1" applyBorder="1" applyAlignment="1">
      <alignment horizontal="right" vertical="center" indent="1"/>
    </xf>
    <xf numFmtId="0" fontId="151" fillId="0" borderId="40" xfId="0" applyFont="1" applyBorder="1" applyAlignment="1">
      <alignment horizontal="center" vertical="center"/>
    </xf>
    <xf numFmtId="0" fontId="0" fillId="0" borderId="9" xfId="0" applyBorder="1"/>
    <xf numFmtId="0" fontId="0" fillId="0" borderId="60" xfId="0" applyBorder="1"/>
    <xf numFmtId="0" fontId="0" fillId="0" borderId="74" xfId="0" applyBorder="1"/>
    <xf numFmtId="0" fontId="151" fillId="0" borderId="0" xfId="0" applyFont="1" applyAlignment="1">
      <alignment horizontal="center" vertical="center"/>
    </xf>
    <xf numFmtId="0" fontId="0" fillId="0" borderId="75" xfId="0" applyBorder="1"/>
    <xf numFmtId="0" fontId="0" fillId="0" borderId="16" xfId="0" applyBorder="1"/>
    <xf numFmtId="0" fontId="0" fillId="0" borderId="55" xfId="0" applyBorder="1"/>
    <xf numFmtId="0" fontId="0" fillId="0" borderId="54" xfId="0" applyBorder="1"/>
    <xf numFmtId="0" fontId="151" fillId="0" borderId="13" xfId="0" applyFont="1" applyBorder="1" applyAlignment="1">
      <alignment horizontal="center" vertical="center"/>
    </xf>
    <xf numFmtId="0" fontId="0" fillId="0" borderId="68" xfId="0" applyBorder="1"/>
    <xf numFmtId="0" fontId="153" fillId="0" borderId="1" xfId="0" applyFont="1" applyBorder="1" applyAlignment="1">
      <alignment horizontal="left" vertical="center" indent="9"/>
    </xf>
    <xf numFmtId="0" fontId="153" fillId="48" borderId="59" xfId="0" applyFont="1" applyFill="1" applyBorder="1" applyAlignment="1">
      <alignment horizontal="center" vertical="center"/>
    </xf>
    <xf numFmtId="0" fontId="0" fillId="0" borderId="27" xfId="0" applyBorder="1"/>
    <xf numFmtId="3" fontId="151" fillId="0" borderId="39" xfId="0" applyNumberFormat="1" applyFont="1" applyBorder="1" applyAlignment="1">
      <alignment horizontal="center" vertical="center"/>
    </xf>
    <xf numFmtId="0" fontId="0" fillId="0" borderId="67" xfId="0" applyBorder="1"/>
    <xf numFmtId="0" fontId="151" fillId="0" borderId="14" xfId="0" applyFont="1" applyBorder="1" applyAlignment="1">
      <alignment horizontal="center" vertical="center"/>
    </xf>
    <xf numFmtId="0" fontId="0" fillId="0" borderId="69" xfId="0" applyBorder="1"/>
    <xf numFmtId="0" fontId="153" fillId="48" borderId="12" xfId="0" applyFont="1" applyFill="1" applyBorder="1" applyAlignment="1">
      <alignment horizontal="center" vertical="center"/>
    </xf>
    <xf numFmtId="0" fontId="160" fillId="49" borderId="11" xfId="0" applyFont="1" applyFill="1" applyBorder="1" applyAlignment="1">
      <alignment horizontal="center" vertical="center"/>
    </xf>
    <xf numFmtId="3" fontId="151" fillId="0" borderId="91" xfId="0" applyNumberFormat="1" applyFont="1" applyBorder="1" applyAlignment="1">
      <alignment horizontal="center" vertical="center"/>
    </xf>
    <xf numFmtId="0" fontId="0" fillId="0" borderId="34" xfId="0" applyBorder="1"/>
    <xf numFmtId="0" fontId="0" fillId="0" borderId="62" xfId="0" applyBorder="1"/>
    <xf numFmtId="0" fontId="0" fillId="0" borderId="37" xfId="0" applyBorder="1"/>
    <xf numFmtId="0" fontId="152" fillId="0" borderId="1" xfId="0" applyFont="1" applyBorder="1" applyAlignment="1">
      <alignment horizontal="center" vertical="center" wrapText="1"/>
    </xf>
    <xf numFmtId="0" fontId="153" fillId="0" borderId="1" xfId="0" applyFont="1" applyBorder="1" applyAlignment="1">
      <alignment horizontal="left" vertical="center" indent="1"/>
    </xf>
    <xf numFmtId="0" fontId="151" fillId="0" borderId="7" xfId="0" applyFont="1" applyBorder="1" applyAlignment="1">
      <alignment horizontal="left" vertical="center" indent="1"/>
    </xf>
    <xf numFmtId="0" fontId="151" fillId="0" borderId="6" xfId="0" applyFont="1" applyBorder="1" applyAlignment="1">
      <alignment horizontal="right" vertical="center" indent="1"/>
    </xf>
    <xf numFmtId="0" fontId="152" fillId="0" borderId="7" xfId="0" applyFont="1" applyBorder="1" applyAlignment="1">
      <alignment horizontal="right" vertical="center" indent="1"/>
    </xf>
    <xf numFmtId="0" fontId="151" fillId="0" borderId="92" xfId="0" applyFont="1" applyBorder="1" applyAlignment="1">
      <alignment horizontal="center" vertical="center"/>
    </xf>
    <xf numFmtId="0" fontId="0" fillId="0" borderId="65" xfId="0" applyBorder="1"/>
    <xf numFmtId="0" fontId="153" fillId="0" borderId="1" xfId="0" applyFont="1" applyBorder="1" applyAlignment="1">
      <alignment horizontal="left" vertical="center" wrapText="1" indent="1"/>
    </xf>
    <xf numFmtId="0" fontId="151" fillId="0" borderId="35" xfId="0" applyFont="1" applyBorder="1" applyAlignment="1">
      <alignment horizontal="center" vertical="center"/>
    </xf>
    <xf numFmtId="0" fontId="151" fillId="0" borderId="5" xfId="0" applyFont="1" applyBorder="1" applyAlignment="1">
      <alignment horizontal="right" vertical="center" indent="1"/>
    </xf>
    <xf numFmtId="0" fontId="151" fillId="0" borderId="5" xfId="0" applyFont="1" applyBorder="1" applyAlignment="1">
      <alignment horizontal="left" vertical="center" indent="1"/>
    </xf>
    <xf numFmtId="0" fontId="151" fillId="0" borderId="7" xfId="0" applyFont="1" applyBorder="1" applyAlignment="1">
      <alignment horizontal="center" vertical="center"/>
    </xf>
    <xf numFmtId="0" fontId="153" fillId="0" borderId="1" xfId="0" applyFont="1" applyBorder="1" applyAlignment="1">
      <alignment horizontal="left" vertical="center" indent="35"/>
    </xf>
    <xf numFmtId="0" fontId="151" fillId="0" borderId="0" xfId="1394" applyFont="1" applyFill="1" applyAlignment="1">
      <alignment horizontal="center" vertical="center"/>
    </xf>
    <xf numFmtId="0" fontId="159" fillId="0" borderId="93" xfId="1394" applyFont="1" applyBorder="1" applyAlignment="1">
      <alignment horizontal="center" vertical="center"/>
    </xf>
    <xf numFmtId="0" fontId="159" fillId="0" borderId="11" xfId="1394" applyFont="1" applyBorder="1" applyAlignment="1">
      <alignment horizontal="center" vertical="center"/>
    </xf>
    <xf numFmtId="0" fontId="159" fillId="0" borderId="11" xfId="1394" applyFont="1" applyBorder="1" applyAlignment="1">
      <alignment horizontal="left" vertical="center" wrapText="1" indent="2"/>
    </xf>
    <xf numFmtId="14" fontId="159" fillId="0" borderId="11" xfId="1394" applyNumberFormat="1" applyFont="1" applyBorder="1" applyAlignment="1">
      <alignment horizontal="center" vertical="center"/>
    </xf>
    <xf numFmtId="3" fontId="159" fillId="52" borderId="11" xfId="1394" applyNumberFormat="1" applyFont="1" applyFill="1" applyBorder="1" applyAlignment="1">
      <alignment horizontal="center" vertical="center"/>
    </xf>
    <xf numFmtId="3" fontId="159" fillId="52" borderId="8" xfId="1394" applyNumberFormat="1" applyFont="1" applyFill="1" applyBorder="1" applyAlignment="1">
      <alignment horizontal="center" vertical="center"/>
    </xf>
    <xf numFmtId="3" fontId="159" fillId="0" borderId="93" xfId="1394" applyNumberFormat="1" applyFont="1" applyBorder="1" applyAlignment="1">
      <alignment horizontal="center" vertical="center"/>
    </xf>
    <xf numFmtId="3" fontId="159" fillId="0" borderId="11" xfId="1394" applyNumberFormat="1" applyFont="1" applyBorder="1" applyAlignment="1">
      <alignment horizontal="center" vertical="center"/>
    </xf>
    <xf numFmtId="10" fontId="159" fillId="0" borderId="11" xfId="1394" applyNumberFormat="1" applyFont="1" applyBorder="1" applyAlignment="1">
      <alignment horizontal="center" vertical="center" wrapText="1"/>
    </xf>
    <xf numFmtId="3" fontId="151" fillId="0" borderId="11" xfId="1394" applyNumberFormat="1" applyFont="1" applyBorder="1" applyAlignment="1">
      <alignment horizontal="center" vertical="center"/>
    </xf>
    <xf numFmtId="0" fontId="172" fillId="0" borderId="85" xfId="1394" applyFont="1" applyBorder="1" applyAlignment="1">
      <alignment horizontal="left" vertical="center" wrapText="1" indent="1"/>
    </xf>
    <xf numFmtId="0" fontId="156" fillId="0" borderId="71" xfId="1394" applyFont="1" applyFill="1" applyBorder="1" applyAlignment="1">
      <alignment horizontal="center" vertical="center" wrapText="1"/>
    </xf>
    <xf numFmtId="0" fontId="0" fillId="0" borderId="24" xfId="0" applyFill="1" applyBorder="1"/>
    <xf numFmtId="0" fontId="0" fillId="0" borderId="94" xfId="0" applyFill="1" applyBorder="1"/>
    <xf numFmtId="3" fontId="156" fillId="0" borderId="72" xfId="1394" applyNumberFormat="1" applyFont="1" applyFill="1" applyBorder="1" applyAlignment="1">
      <alignment horizontal="center" vertical="center"/>
    </xf>
    <xf numFmtId="3" fontId="156" fillId="0" borderId="95" xfId="1394" applyNumberFormat="1" applyFont="1" applyFill="1" applyBorder="1" applyAlignment="1">
      <alignment horizontal="center" vertical="center"/>
    </xf>
    <xf numFmtId="3" fontId="156" fillId="0" borderId="71" xfId="1394" applyNumberFormat="1" applyFont="1" applyFill="1" applyBorder="1" applyAlignment="1">
      <alignment horizontal="center" vertical="center"/>
    </xf>
    <xf numFmtId="0" fontId="151" fillId="0" borderId="72" xfId="1394" applyFont="1" applyFill="1" applyBorder="1" applyAlignment="1">
      <alignment horizontal="center" vertical="center"/>
    </xf>
    <xf numFmtId="3" fontId="152" fillId="0" borderId="72" xfId="1394" applyNumberFormat="1" applyFont="1" applyFill="1" applyBorder="1" applyAlignment="1">
      <alignment horizontal="center" vertical="center"/>
    </xf>
    <xf numFmtId="0" fontId="169" fillId="0" borderId="73" xfId="1394" applyFont="1" applyFill="1" applyBorder="1" applyAlignment="1">
      <alignment horizontal="left" vertical="center" wrapText="1" indent="1"/>
    </xf>
  </cellXfs>
  <cellStyles count="1395">
    <cellStyle name="_x0001_" xfId="47" xr:uid="{00000000-0005-0000-0000-00002F000000}"/>
    <cellStyle name="_x0007_" xfId="1364" xr:uid="{00000000-0005-0000-0000-000054050000}"/>
    <cellStyle name="??" xfId="48" xr:uid="{00000000-0005-0000-0000-000030000000}"/>
    <cellStyle name="?? [0.00]_ Att. 1- Cover" xfId="49" xr:uid="{00000000-0005-0000-0000-000031000000}"/>
    <cellStyle name="?? [0]" xfId="50" xr:uid="{00000000-0005-0000-0000-000032000000}"/>
    <cellStyle name="??&amp;O?&amp;H?_x0008_??_x0007__x0001__x0001_" xfId="51" xr:uid="{00000000-0005-0000-0000-000033000000}"/>
    <cellStyle name="?_x001d_??" xfId="52" xr:uid="{00000000-0005-0000-0000-000034000000}"/>
    <cellStyle name="?_x001d_??%U©÷u" xfId="53" xr:uid="{00000000-0005-0000-0000-000035000000}"/>
    <cellStyle name="?_x001d_??%U©÷u&amp;H©÷" xfId="54" xr:uid="{00000000-0005-0000-0000-000036000000}"/>
    <cellStyle name="?_x001d_??%U©÷u&amp;H©÷9_x0008_? " xfId="55" xr:uid="{00000000-0005-0000-0000-000037000000}"/>
    <cellStyle name="?_x001d_??%U©÷u&amp;H©÷9_x0008_? s_x000a__x0007__x0001__x0001_" xfId="56" xr:uid="{00000000-0005-0000-0000-000038000000}"/>
    <cellStyle name="?_x001d_??%U²u&amp;H²9_x0008_? s_x000a__x0007__x0001__x0001_" xfId="57" xr:uid="{00000000-0005-0000-0000-000039000000}"/>
    <cellStyle name="???? [0.00]_List-dwg" xfId="58" xr:uid="{00000000-0005-0000-0000-00003A000000}"/>
    <cellStyle name="????_List-dwg" xfId="59" xr:uid="{00000000-0005-0000-0000-00003B000000}"/>
    <cellStyle name="???[0]_?? DI" xfId="60" xr:uid="{00000000-0005-0000-0000-00003C000000}"/>
    <cellStyle name="???_?? DI" xfId="61" xr:uid="{00000000-0005-0000-0000-00003D000000}"/>
    <cellStyle name="??[0]_BRE" xfId="62" xr:uid="{00000000-0005-0000-0000-00003E000000}"/>
    <cellStyle name="??_ ??? ???? " xfId="63" xr:uid="{00000000-0005-0000-0000-00003F000000}"/>
    <cellStyle name="??A? [0]_laroux_1_¸???™? " xfId="64" xr:uid="{00000000-0005-0000-0000-000040000000}"/>
    <cellStyle name="??A?_laroux_1_¸???™? " xfId="65" xr:uid="{00000000-0005-0000-0000-000041000000}"/>
    <cellStyle name="?¡±¢¥?_?¨ù??¢´¢¥_¢¬???¢â? " xfId="66" xr:uid="{00000000-0005-0000-0000-000042000000}"/>
    <cellStyle name="?”´?_?¼??¤´_¸???™? " xfId="67" xr:uid="{00000000-0005-0000-0000-000043000000}"/>
    <cellStyle name="?ðÇ" xfId="68" xr:uid="{00000000-0005-0000-0000-000044000000}"/>
    <cellStyle name="?ðÇ%" xfId="69" xr:uid="{00000000-0005-0000-0000-000045000000}"/>
    <cellStyle name="?ðÇ%U?&amp;H" xfId="70" xr:uid="{00000000-0005-0000-0000-000046000000}"/>
    <cellStyle name="?ðÇ%U?&amp;H?_x0008_?s_x000a__x0007__x0001__x0001_" xfId="71" xr:uid="{00000000-0005-0000-0000-000047000000}"/>
    <cellStyle name="?曹%U?&amp;H?_x0008_?s_x000a__x0007__x0001__x0001_" xfId="72" xr:uid="{00000000-0005-0000-0000-000048000000}"/>
    <cellStyle name="[0]_Chi phÝ kh¸c_V" xfId="73" xr:uid="{00000000-0005-0000-0000-000049000000}"/>
    <cellStyle name="_04 (vn)SECC Bills of Quantities" xfId="74" xr:uid="{00000000-0005-0000-0000-00004A000000}"/>
    <cellStyle name="_1107" xfId="75" xr:uid="{00000000-0005-0000-0000-00004B000000}"/>
    <cellStyle name="_Bang Chi tieu (2)" xfId="76" xr:uid="{00000000-0005-0000-0000-00004C000000}"/>
    <cellStyle name="_Book1" xfId="77" xr:uid="{00000000-0005-0000-0000-00004D000000}"/>
    <cellStyle name="_Book1_1" xfId="78" xr:uid="{00000000-0005-0000-0000-00004E000000}"/>
    <cellStyle name="_Book1_1_BOQ-Thuan thao (Tai 07May)" xfId="79" xr:uid="{00000000-0005-0000-0000-00004F000000}"/>
    <cellStyle name="_Book1_1_CAU TAO GIA THE OCEAN VILLAS DANANG" xfId="80" xr:uid="{00000000-0005-0000-0000-000050000000}"/>
    <cellStyle name="_Book1_2" xfId="81" xr:uid="{00000000-0005-0000-0000-000051000000}"/>
    <cellStyle name="_Book1_BC-QT-WB-dthao" xfId="82" xr:uid="{00000000-0005-0000-0000-000052000000}"/>
    <cellStyle name="_Book1_Book1" xfId="83" xr:uid="{00000000-0005-0000-0000-000053000000}"/>
    <cellStyle name="_Book1_BOQ-Thuan thao (Tai 07May)" xfId="84" xr:uid="{00000000-0005-0000-0000-000054000000}"/>
    <cellStyle name="_Book1_CAU TAO GIA THE OCEAN VILLAS DANANG" xfId="85" xr:uid="{00000000-0005-0000-0000-000055000000}"/>
    <cellStyle name="_Book1_Thong tin chung Groz" xfId="86" xr:uid="{00000000-0005-0000-0000-000056000000}"/>
    <cellStyle name="_Book2" xfId="87" xr:uid="{00000000-0005-0000-0000-000057000000}"/>
    <cellStyle name="_Book2_Cau tao gia Arico T2-2009" xfId="88" xr:uid="{00000000-0005-0000-0000-000058000000}"/>
    <cellStyle name="_Book2_Cau tao gia Arico T2-2009_08. BoQ Vinamilk My Phuoc 2 BD - Rev.00 (Tong hop XD-M&amp;E)-29.09.09" xfId="89" xr:uid="{00000000-0005-0000-0000-000059000000}"/>
    <cellStyle name="_Book2_CTC - BoQ Agrex Building" xfId="90" xr:uid="{00000000-0005-0000-0000-00005A000000}"/>
    <cellStyle name="_BOQ of exhaust fan" xfId="91" xr:uid="{00000000-0005-0000-0000-00005B000000}"/>
    <cellStyle name="_BOQ- Phan XD-COTECCONS (02-4-08)" xfId="92" xr:uid="{00000000-0005-0000-0000-00005C000000}"/>
    <cellStyle name="_BoQ-E-TOWN 2 Building -COTECCONS" xfId="93" xr:uid="{00000000-0005-0000-0000-00005D000000}"/>
    <cellStyle name="_Cau tao gia Nop thau Mau" xfId="94" xr:uid="{00000000-0005-0000-0000-00005E000000}"/>
    <cellStyle name="_CAU TAO GIA THE OCEAN VILLAS DANANG" xfId="95" xr:uid="{00000000-0005-0000-0000-00005F000000}"/>
    <cellStyle name="_Cau tao gia Thien Long Ha Nam (28-2-08)" xfId="96" xr:uid="{00000000-0005-0000-0000-000060000000}"/>
    <cellStyle name="_x0001__Cong tac CBi" xfId="97" xr:uid="{00000000-0005-0000-0000-000061000000}"/>
    <cellStyle name="_x0001__Cong tac chuan bi Cao su" xfId="98" xr:uid="{00000000-0005-0000-0000-000062000000}"/>
    <cellStyle name="_cong tac chuan bi Nhatrang Plaza" xfId="99" xr:uid="{00000000-0005-0000-0000-000063000000}"/>
    <cellStyle name="_Cong tac chuan bi-Thanh" xfId="100" xr:uid="{00000000-0005-0000-0000-000064000000}"/>
    <cellStyle name="_CTC - BoQ Agrex Building" xfId="101" xr:uid="{00000000-0005-0000-0000-000065000000}"/>
    <cellStyle name="_x0001__CTC - BoQ Agrex Building" xfId="102" xr:uid="{00000000-0005-0000-0000-000066000000}"/>
    <cellStyle name="_dutoan1" xfId="103" xr:uid="{00000000-0005-0000-0000-000067000000}"/>
    <cellStyle name="_Final Summary Richland Hill (30-9-08)" xfId="104" xr:uid="{00000000-0005-0000-0000-000068000000}"/>
    <cellStyle name="_giatonghop thanhtoan d1" xfId="105" xr:uid="{00000000-0005-0000-0000-000069000000}"/>
    <cellStyle name="_Khoi Luong" xfId="393" xr:uid="{00000000-0005-0000-0000-000089010000}"/>
    <cellStyle name="_KT (2)" xfId="106" xr:uid="{00000000-0005-0000-0000-00006A000000}"/>
    <cellStyle name="_KT (2)_1" xfId="107" xr:uid="{00000000-0005-0000-0000-00006B000000}"/>
    <cellStyle name="_KT (2)_1_Lora-tungchau" xfId="108" xr:uid="{00000000-0005-0000-0000-00006C000000}"/>
    <cellStyle name="_KT (2)_1_Qt-HT3PQ1(CauKho)" xfId="109" xr:uid="{00000000-0005-0000-0000-00006D000000}"/>
    <cellStyle name="_KT (2)_2" xfId="110" xr:uid="{00000000-0005-0000-0000-00006E000000}"/>
    <cellStyle name="_KT (2)_2_TG-TH" xfId="111" xr:uid="{00000000-0005-0000-0000-00006F000000}"/>
    <cellStyle name="_KT (2)_2_TG-TH_BAO CAO KLCT PT2000" xfId="112" xr:uid="{00000000-0005-0000-0000-000070000000}"/>
    <cellStyle name="_KT (2)_2_TG-TH_BAO CAO PT2000" xfId="113" xr:uid="{00000000-0005-0000-0000-000071000000}"/>
    <cellStyle name="_KT (2)_2_TG-TH_BAO CAO PT2000_Book1" xfId="114" xr:uid="{00000000-0005-0000-0000-000072000000}"/>
    <cellStyle name="_KT (2)_2_TG-TH_Bao cao XDCB 2001 - T11 KH dieu chinh 20-11-THAI" xfId="115" xr:uid="{00000000-0005-0000-0000-000073000000}"/>
    <cellStyle name="_KT (2)_2_TG-TH_Book1" xfId="116" xr:uid="{00000000-0005-0000-0000-000074000000}"/>
    <cellStyle name="_KT (2)_2_TG-TH_Book1_1" xfId="117" xr:uid="{00000000-0005-0000-0000-000075000000}"/>
    <cellStyle name="_KT (2)_2_TG-TH_Book1_1_Cong tac chuan bi Cao su" xfId="118" xr:uid="{00000000-0005-0000-0000-000076000000}"/>
    <cellStyle name="_KT (2)_2_TG-TH_Book1_1_CTC - BoQ Agrex Building" xfId="119" xr:uid="{00000000-0005-0000-0000-000077000000}"/>
    <cellStyle name="_KT (2)_2_TG-TH_Book1_2" xfId="120" xr:uid="{00000000-0005-0000-0000-000078000000}"/>
    <cellStyle name="_KT (2)_2_TG-TH_Book1_2_Cong tac chuan bi Cao su" xfId="121" xr:uid="{00000000-0005-0000-0000-000079000000}"/>
    <cellStyle name="_KT (2)_2_TG-TH_Book1_3" xfId="122" xr:uid="{00000000-0005-0000-0000-00007A000000}"/>
    <cellStyle name="_KT (2)_2_TG-TH_Book1_4" xfId="123" xr:uid="{00000000-0005-0000-0000-00007B000000}"/>
    <cellStyle name="_KT (2)_2_TG-TH_Book1_Book2" xfId="124" xr:uid="{00000000-0005-0000-0000-00007C000000}"/>
    <cellStyle name="_KT (2)_2_TG-TH_Book1_BOQ-Thuan thao (Tai 07May)" xfId="125" xr:uid="{00000000-0005-0000-0000-00007D000000}"/>
    <cellStyle name="_KT (2)_2_TG-TH_Book1_Cau tao gia Arico T2-2009" xfId="126" xr:uid="{00000000-0005-0000-0000-00007E000000}"/>
    <cellStyle name="_KT (2)_2_TG-TH_Book1_Cau tao gia phan Tho (ham + Than) 15-9-08" xfId="127" xr:uid="{00000000-0005-0000-0000-00007F000000}"/>
    <cellStyle name="_KT (2)_2_TG-TH_Book1_CAU TAO GIA THE OCEAN VILLAS DANANG" xfId="128" xr:uid="{00000000-0005-0000-0000-000080000000}"/>
    <cellStyle name="_KT (2)_2_TG-TH_Book1_cong tac chuan bi Nhatrang Plaza" xfId="129" xr:uid="{00000000-0005-0000-0000-000081000000}"/>
    <cellStyle name="_KT (2)_2_TG-TH_Book1_Cong tac chuan bi-Thanh" xfId="130" xr:uid="{00000000-0005-0000-0000-000082000000}"/>
    <cellStyle name="_KT (2)_2_TG-TH_Book1_Copy of Cau tao gia Mau" xfId="131" xr:uid="{00000000-0005-0000-0000-000083000000}"/>
    <cellStyle name="_KT (2)_2_TG-TH_Book1_CTC - BoQ Agrex Building" xfId="132" xr:uid="{00000000-0005-0000-0000-000084000000}"/>
    <cellStyle name="_KT (2)_2_TG-TH_Book2" xfId="133" xr:uid="{00000000-0005-0000-0000-000085000000}"/>
    <cellStyle name="_KT (2)_2_TG-TH_BOQ-Thuan thao (Tai 07May)" xfId="134" xr:uid="{00000000-0005-0000-0000-000086000000}"/>
    <cellStyle name="_KT (2)_2_TG-TH_Cau tao gia Arico T2-2009" xfId="135" xr:uid="{00000000-0005-0000-0000-000087000000}"/>
    <cellStyle name="_KT (2)_2_TG-TH_Cau tao gia phan Tho (ham + Than) 15-9-08" xfId="136" xr:uid="{00000000-0005-0000-0000-000088000000}"/>
    <cellStyle name="_KT (2)_2_TG-TH_CAU TAO GIA THE OCEAN VILLAS DANANG" xfId="137" xr:uid="{00000000-0005-0000-0000-000089000000}"/>
    <cellStyle name="_KT (2)_2_TG-TH_cong tac chuan bi Nhatrang Plaza" xfId="138" xr:uid="{00000000-0005-0000-0000-00008A000000}"/>
    <cellStyle name="_KT (2)_2_TG-TH_Cong tac chuan bi-Thanh" xfId="139" xr:uid="{00000000-0005-0000-0000-00008B000000}"/>
    <cellStyle name="_KT (2)_2_TG-TH_Copy of Cau tao gia Mau" xfId="140" xr:uid="{00000000-0005-0000-0000-00008C000000}"/>
    <cellStyle name="_KT (2)_2_TG-TH_CROWN WELL 冠威報價單20071015" xfId="141" xr:uid="{00000000-0005-0000-0000-00008D000000}"/>
    <cellStyle name="_KT (2)_2_TG-TH_CTC - BoQ Agrex Building" xfId="142" xr:uid="{00000000-0005-0000-0000-00008E000000}"/>
    <cellStyle name="_KT (2)_2_TG-TH_DT kho 50x72 ,52x45m -11-5" xfId="143" xr:uid="{00000000-0005-0000-0000-00008F000000}"/>
    <cellStyle name="_KT (2)_2_TG-TH_DT kho 50x72 ,52x45m ASIA NUTRITION" xfId="144" xr:uid="{00000000-0005-0000-0000-000090000000}"/>
    <cellStyle name="_KT (2)_2_TG-TH_DTCDT MR.2N110.HOCMON.TDTOAN.CCUNG" xfId="145" xr:uid="{00000000-0005-0000-0000-000091000000}"/>
    <cellStyle name="_KT (2)_2_TG-TH_DTkho 52x70m ASIA NUTRITION" xfId="146" xr:uid="{00000000-0005-0000-0000-000092000000}"/>
    <cellStyle name="_KT (2)_2_TG-TH_DTkho 52x70m ASIA NUTRITION-change-tuong bt6m" xfId="147" xr:uid="{00000000-0005-0000-0000-000093000000}"/>
    <cellStyle name="_KT (2)_2_TG-TH_DTkho 52x70m ASIA NUTRITION-seno betong" xfId="148" xr:uid="{00000000-0005-0000-0000-000094000000}"/>
    <cellStyle name="_KT (2)_2_TG-TH_Lora-tungchau" xfId="149" xr:uid="{00000000-0005-0000-0000-000095000000}"/>
    <cellStyle name="_KT (2)_2_TG-TH_PGIA-phieu tham tra Kho bac" xfId="150" xr:uid="{00000000-0005-0000-0000-000096000000}"/>
    <cellStyle name="_KT (2)_2_TG-TH_PT02-02" xfId="151" xr:uid="{00000000-0005-0000-0000-000097000000}"/>
    <cellStyle name="_KT (2)_2_TG-TH_PT02-02_Book1" xfId="152" xr:uid="{00000000-0005-0000-0000-000098000000}"/>
    <cellStyle name="_KT (2)_2_TG-TH_PT02-03" xfId="153" xr:uid="{00000000-0005-0000-0000-000099000000}"/>
    <cellStyle name="_KT (2)_2_TG-TH_PT02-03_Book1" xfId="154" xr:uid="{00000000-0005-0000-0000-00009A000000}"/>
    <cellStyle name="_KT (2)_2_TG-TH_Qt-HT3PQ1(CauKho)" xfId="155" xr:uid="{00000000-0005-0000-0000-00009B000000}"/>
    <cellStyle name="_KT (2)_3" xfId="156" xr:uid="{00000000-0005-0000-0000-00009C000000}"/>
    <cellStyle name="_KT (2)_3_TG-TH" xfId="157" xr:uid="{00000000-0005-0000-0000-00009D000000}"/>
    <cellStyle name="_KT (2)_3_TG-TH_Book1" xfId="158" xr:uid="{00000000-0005-0000-0000-00009E000000}"/>
    <cellStyle name="_KT (2)_3_TG-TH_Book1_1" xfId="159" xr:uid="{00000000-0005-0000-0000-00009F000000}"/>
    <cellStyle name="_KT (2)_3_TG-TH_Book1_BC-QT-WB-dthao" xfId="160" xr:uid="{00000000-0005-0000-0000-0000A0000000}"/>
    <cellStyle name="_KT (2)_3_TG-TH_Book1_BOQ-Thuan thao (Tai 07May)" xfId="161" xr:uid="{00000000-0005-0000-0000-0000A1000000}"/>
    <cellStyle name="_KT (2)_3_TG-TH_Book1_CAU TAO GIA THE OCEAN VILLAS DANANG" xfId="162" xr:uid="{00000000-0005-0000-0000-0000A2000000}"/>
    <cellStyle name="_KT (2)_3_TG-TH_Book2" xfId="163" xr:uid="{00000000-0005-0000-0000-0000A3000000}"/>
    <cellStyle name="_KT (2)_3_TG-TH_BOQ-Thuan thao (Tai 07May)" xfId="164" xr:uid="{00000000-0005-0000-0000-0000A4000000}"/>
    <cellStyle name="_KT (2)_3_TG-TH_Cau tao gia Arico T2-2009" xfId="165" xr:uid="{00000000-0005-0000-0000-0000A5000000}"/>
    <cellStyle name="_KT (2)_3_TG-TH_Cau tao gia phan Tho (ham + Than) 15-9-08" xfId="166" xr:uid="{00000000-0005-0000-0000-0000A6000000}"/>
    <cellStyle name="_KT (2)_3_TG-TH_CAU TAO GIA THE OCEAN VILLAS DANANG" xfId="167" xr:uid="{00000000-0005-0000-0000-0000A7000000}"/>
    <cellStyle name="_KT (2)_3_TG-TH_cong tac chuan bi Nhatrang Plaza" xfId="168" xr:uid="{00000000-0005-0000-0000-0000A8000000}"/>
    <cellStyle name="_KT (2)_3_TG-TH_Cong tac chuan bi-Thanh" xfId="169" xr:uid="{00000000-0005-0000-0000-0000A9000000}"/>
    <cellStyle name="_KT (2)_3_TG-TH_Copy of Cau tao gia Mau" xfId="170" xr:uid="{00000000-0005-0000-0000-0000AA000000}"/>
    <cellStyle name="_KT (2)_3_TG-TH_CTC - BoQ Agrex Building" xfId="171" xr:uid="{00000000-0005-0000-0000-0000AB000000}"/>
    <cellStyle name="_KT (2)_3_TG-TH_Lora-tungchau" xfId="172" xr:uid="{00000000-0005-0000-0000-0000AC000000}"/>
    <cellStyle name="_KT (2)_3_TG-TH_PERSONAL" xfId="173" xr:uid="{00000000-0005-0000-0000-0000AD000000}"/>
    <cellStyle name="_KT (2)_3_TG-TH_PERSONAL_Book1" xfId="174" xr:uid="{00000000-0005-0000-0000-0000AE000000}"/>
    <cellStyle name="_KT (2)_3_TG-TH_PERSONAL_BOQ-Thuan thao (Tai 07May)" xfId="175" xr:uid="{00000000-0005-0000-0000-0000AF000000}"/>
    <cellStyle name="_KT (2)_3_TG-TH_PERSONAL_CAU TAO GIA THE OCEAN VILLAS DANANG" xfId="176" xr:uid="{00000000-0005-0000-0000-0000B0000000}"/>
    <cellStyle name="_KT (2)_3_TG-TH_PERSONAL_Copy of Cau tao gia Mau" xfId="177" xr:uid="{00000000-0005-0000-0000-0000B1000000}"/>
    <cellStyle name="_KT (2)_3_TG-TH_PERSONAL_HTQ.8 GD1" xfId="178" xr:uid="{00000000-0005-0000-0000-0000B2000000}"/>
    <cellStyle name="_KT (2)_3_TG-TH_PERSONAL_Tong hop KHCB 2001" xfId="179" xr:uid="{00000000-0005-0000-0000-0000B3000000}"/>
    <cellStyle name="_KT (2)_3_TG-TH_Qt-HT3PQ1(CauKho)" xfId="180" xr:uid="{00000000-0005-0000-0000-0000B4000000}"/>
    <cellStyle name="_KT (2)_4" xfId="181" xr:uid="{00000000-0005-0000-0000-0000B5000000}"/>
    <cellStyle name="_KT (2)_4_BAO CAO KLCT PT2000" xfId="182" xr:uid="{00000000-0005-0000-0000-0000B6000000}"/>
    <cellStyle name="_KT (2)_4_BAO CAO PT2000" xfId="183" xr:uid="{00000000-0005-0000-0000-0000B7000000}"/>
    <cellStyle name="_KT (2)_4_BAO CAO PT2000_Book1" xfId="184" xr:uid="{00000000-0005-0000-0000-0000B8000000}"/>
    <cellStyle name="_KT (2)_4_Bao cao XDCB 2001 - T11 KH dieu chinh 20-11-THAI" xfId="185" xr:uid="{00000000-0005-0000-0000-0000B9000000}"/>
    <cellStyle name="_KT (2)_4_Book1" xfId="186" xr:uid="{00000000-0005-0000-0000-0000BA000000}"/>
    <cellStyle name="_KT (2)_4_Book1_1" xfId="187" xr:uid="{00000000-0005-0000-0000-0000BB000000}"/>
    <cellStyle name="_KT (2)_4_Book1_1_Cong tac chuan bi Cao su" xfId="188" xr:uid="{00000000-0005-0000-0000-0000BC000000}"/>
    <cellStyle name="_KT (2)_4_Book1_1_CTC - BoQ Agrex Building" xfId="189" xr:uid="{00000000-0005-0000-0000-0000BD000000}"/>
    <cellStyle name="_KT (2)_4_Book1_2" xfId="190" xr:uid="{00000000-0005-0000-0000-0000BE000000}"/>
    <cellStyle name="_KT (2)_4_Book1_2_Cong tac chuan bi Cao su" xfId="191" xr:uid="{00000000-0005-0000-0000-0000BF000000}"/>
    <cellStyle name="_KT (2)_4_Book1_3" xfId="192" xr:uid="{00000000-0005-0000-0000-0000C0000000}"/>
    <cellStyle name="_KT (2)_4_Book1_4" xfId="193" xr:uid="{00000000-0005-0000-0000-0000C1000000}"/>
    <cellStyle name="_KT (2)_4_Book1_Book2" xfId="194" xr:uid="{00000000-0005-0000-0000-0000C2000000}"/>
    <cellStyle name="_KT (2)_4_Book1_BOQ-Thuan thao (Tai 07May)" xfId="195" xr:uid="{00000000-0005-0000-0000-0000C3000000}"/>
    <cellStyle name="_KT (2)_4_Book1_Cau tao gia Arico T2-2009" xfId="196" xr:uid="{00000000-0005-0000-0000-0000C4000000}"/>
    <cellStyle name="_KT (2)_4_Book1_Cau tao gia phan Tho (ham + Than) 15-9-08" xfId="197" xr:uid="{00000000-0005-0000-0000-0000C5000000}"/>
    <cellStyle name="_KT (2)_4_Book1_CAU TAO GIA THE OCEAN VILLAS DANANG" xfId="198" xr:uid="{00000000-0005-0000-0000-0000C6000000}"/>
    <cellStyle name="_KT (2)_4_Book1_cong tac chuan bi Nhatrang Plaza" xfId="199" xr:uid="{00000000-0005-0000-0000-0000C7000000}"/>
    <cellStyle name="_KT (2)_4_Book1_Cong tac chuan bi-Thanh" xfId="200" xr:uid="{00000000-0005-0000-0000-0000C8000000}"/>
    <cellStyle name="_KT (2)_4_Book1_Copy of Cau tao gia Mau" xfId="201" xr:uid="{00000000-0005-0000-0000-0000C9000000}"/>
    <cellStyle name="_KT (2)_4_Book1_CTC - BoQ Agrex Building" xfId="202" xr:uid="{00000000-0005-0000-0000-0000CA000000}"/>
    <cellStyle name="_KT (2)_4_Book2" xfId="203" xr:uid="{00000000-0005-0000-0000-0000CB000000}"/>
    <cellStyle name="_KT (2)_4_BOQ-Thuan thao (Tai 07May)" xfId="204" xr:uid="{00000000-0005-0000-0000-0000CC000000}"/>
    <cellStyle name="_KT (2)_4_Cau tao gia Arico T2-2009" xfId="205" xr:uid="{00000000-0005-0000-0000-0000CD000000}"/>
    <cellStyle name="_KT (2)_4_Cau tao gia phan Tho (ham + Than) 15-9-08" xfId="206" xr:uid="{00000000-0005-0000-0000-0000CE000000}"/>
    <cellStyle name="_KT (2)_4_CAU TAO GIA THE OCEAN VILLAS DANANG" xfId="207" xr:uid="{00000000-0005-0000-0000-0000CF000000}"/>
    <cellStyle name="_KT (2)_4_cong tac chuan bi Nhatrang Plaza" xfId="208" xr:uid="{00000000-0005-0000-0000-0000D0000000}"/>
    <cellStyle name="_KT (2)_4_Cong tac chuan bi-Thanh" xfId="209" xr:uid="{00000000-0005-0000-0000-0000D1000000}"/>
    <cellStyle name="_KT (2)_4_Copy of Cau tao gia Mau" xfId="210" xr:uid="{00000000-0005-0000-0000-0000D2000000}"/>
    <cellStyle name="_KT (2)_4_CROWN WELL 冠威報價單20071015" xfId="211" xr:uid="{00000000-0005-0000-0000-0000D3000000}"/>
    <cellStyle name="_KT (2)_4_CTC - BoQ Agrex Building" xfId="212" xr:uid="{00000000-0005-0000-0000-0000D4000000}"/>
    <cellStyle name="_KT (2)_4_DT kho 50x72 ,52x45m -11-5" xfId="213" xr:uid="{00000000-0005-0000-0000-0000D5000000}"/>
    <cellStyle name="_KT (2)_4_DT kho 50x72 ,52x45m ASIA NUTRITION" xfId="214" xr:uid="{00000000-0005-0000-0000-0000D6000000}"/>
    <cellStyle name="_KT (2)_4_DTCDT MR.2N110.HOCMON.TDTOAN.CCUNG" xfId="215" xr:uid="{00000000-0005-0000-0000-0000D7000000}"/>
    <cellStyle name="_KT (2)_4_DTkho 52x70m ASIA NUTRITION" xfId="216" xr:uid="{00000000-0005-0000-0000-0000D8000000}"/>
    <cellStyle name="_KT (2)_4_DTkho 52x70m ASIA NUTRITION-change-tuong bt6m" xfId="217" xr:uid="{00000000-0005-0000-0000-0000D9000000}"/>
    <cellStyle name="_KT (2)_4_DTkho 52x70m ASIA NUTRITION-seno betong" xfId="218" xr:uid="{00000000-0005-0000-0000-0000DA000000}"/>
    <cellStyle name="_KT (2)_4_Lora-tungchau" xfId="219" xr:uid="{00000000-0005-0000-0000-0000DB000000}"/>
    <cellStyle name="_KT (2)_4_PGIA-phieu tham tra Kho bac" xfId="220" xr:uid="{00000000-0005-0000-0000-0000DC000000}"/>
    <cellStyle name="_KT (2)_4_PT02-02" xfId="221" xr:uid="{00000000-0005-0000-0000-0000DD000000}"/>
    <cellStyle name="_KT (2)_4_PT02-02_Book1" xfId="222" xr:uid="{00000000-0005-0000-0000-0000DE000000}"/>
    <cellStyle name="_KT (2)_4_PT02-03" xfId="223" xr:uid="{00000000-0005-0000-0000-0000DF000000}"/>
    <cellStyle name="_KT (2)_4_PT02-03_Book1" xfId="224" xr:uid="{00000000-0005-0000-0000-0000E0000000}"/>
    <cellStyle name="_KT (2)_4_Qt-HT3PQ1(CauKho)" xfId="225" xr:uid="{00000000-0005-0000-0000-0000E1000000}"/>
    <cellStyle name="_KT (2)_4_TG-TH" xfId="226" xr:uid="{00000000-0005-0000-0000-0000E2000000}"/>
    <cellStyle name="_KT (2)_5" xfId="227" xr:uid="{00000000-0005-0000-0000-0000E3000000}"/>
    <cellStyle name="_KT (2)_5_BAO CAO KLCT PT2000" xfId="228" xr:uid="{00000000-0005-0000-0000-0000E4000000}"/>
    <cellStyle name="_KT (2)_5_BAO CAO PT2000" xfId="229" xr:uid="{00000000-0005-0000-0000-0000E5000000}"/>
    <cellStyle name="_KT (2)_5_BAO CAO PT2000_Book1" xfId="230" xr:uid="{00000000-0005-0000-0000-0000E6000000}"/>
    <cellStyle name="_KT (2)_5_Bao cao XDCB 2001 - T11 KH dieu chinh 20-11-THAI" xfId="231" xr:uid="{00000000-0005-0000-0000-0000E7000000}"/>
    <cellStyle name="_KT (2)_5_Book1" xfId="232" xr:uid="{00000000-0005-0000-0000-0000E8000000}"/>
    <cellStyle name="_KT (2)_5_Book1_1" xfId="233" xr:uid="{00000000-0005-0000-0000-0000E9000000}"/>
    <cellStyle name="_KT (2)_5_Book1_1_Cong tac chuan bi Cao su" xfId="234" xr:uid="{00000000-0005-0000-0000-0000EA000000}"/>
    <cellStyle name="_KT (2)_5_Book1_1_CTC - BoQ Agrex Building" xfId="235" xr:uid="{00000000-0005-0000-0000-0000EB000000}"/>
    <cellStyle name="_KT (2)_5_Book1_2" xfId="236" xr:uid="{00000000-0005-0000-0000-0000EC000000}"/>
    <cellStyle name="_KT (2)_5_Book1_2_Cong tac chuan bi Cao su" xfId="237" xr:uid="{00000000-0005-0000-0000-0000ED000000}"/>
    <cellStyle name="_KT (2)_5_Book1_3" xfId="238" xr:uid="{00000000-0005-0000-0000-0000EE000000}"/>
    <cellStyle name="_KT (2)_5_Book1_4" xfId="239" xr:uid="{00000000-0005-0000-0000-0000EF000000}"/>
    <cellStyle name="_KT (2)_5_Book1_BC-QT-WB-dthao" xfId="240" xr:uid="{00000000-0005-0000-0000-0000F0000000}"/>
    <cellStyle name="_KT (2)_5_Book1_Book2" xfId="241" xr:uid="{00000000-0005-0000-0000-0000F1000000}"/>
    <cellStyle name="_KT (2)_5_Book1_BOQ-Thuan thao (Tai 07May)" xfId="242" xr:uid="{00000000-0005-0000-0000-0000F2000000}"/>
    <cellStyle name="_KT (2)_5_Book1_Cau tao gia Arico T2-2009" xfId="243" xr:uid="{00000000-0005-0000-0000-0000F3000000}"/>
    <cellStyle name="_KT (2)_5_Book1_Cau tao gia phan Tho (ham + Than) 15-9-08" xfId="244" xr:uid="{00000000-0005-0000-0000-0000F4000000}"/>
    <cellStyle name="_KT (2)_5_Book1_CAU TAO GIA THE OCEAN VILLAS DANANG" xfId="245" xr:uid="{00000000-0005-0000-0000-0000F5000000}"/>
    <cellStyle name="_KT (2)_5_Book1_cong tac chuan bi Nhatrang Plaza" xfId="246" xr:uid="{00000000-0005-0000-0000-0000F6000000}"/>
    <cellStyle name="_KT (2)_5_Book1_Cong tac chuan bi-Thanh" xfId="247" xr:uid="{00000000-0005-0000-0000-0000F7000000}"/>
    <cellStyle name="_KT (2)_5_Book1_Copy of Cau tao gia Mau" xfId="248" xr:uid="{00000000-0005-0000-0000-0000F8000000}"/>
    <cellStyle name="_KT (2)_5_Book1_CTC - BoQ Agrex Building" xfId="249" xr:uid="{00000000-0005-0000-0000-0000F9000000}"/>
    <cellStyle name="_KT (2)_5_Book2" xfId="250" xr:uid="{00000000-0005-0000-0000-0000FA000000}"/>
    <cellStyle name="_KT (2)_5_BOQ-Thuan thao (Tai 07May)" xfId="251" xr:uid="{00000000-0005-0000-0000-0000FB000000}"/>
    <cellStyle name="_KT (2)_5_Cau tao gia Arico T2-2009" xfId="252" xr:uid="{00000000-0005-0000-0000-0000FC000000}"/>
    <cellStyle name="_KT (2)_5_Cau tao gia phan Tho (ham + Than) 15-9-08" xfId="253" xr:uid="{00000000-0005-0000-0000-0000FD000000}"/>
    <cellStyle name="_KT (2)_5_CAU TAO GIA THE OCEAN VILLAS DANANG" xfId="254" xr:uid="{00000000-0005-0000-0000-0000FE000000}"/>
    <cellStyle name="_KT (2)_5_cong tac chuan bi Nhatrang Plaza" xfId="255" xr:uid="{00000000-0005-0000-0000-0000FF000000}"/>
    <cellStyle name="_KT (2)_5_Cong tac chuan bi-Thanh" xfId="256" xr:uid="{00000000-0005-0000-0000-000000010000}"/>
    <cellStyle name="_KT (2)_5_Copy of Cau tao gia Mau" xfId="257" xr:uid="{00000000-0005-0000-0000-000001010000}"/>
    <cellStyle name="_KT (2)_5_CROWN WELL 冠威報價單20071015" xfId="258" xr:uid="{00000000-0005-0000-0000-000002010000}"/>
    <cellStyle name="_KT (2)_5_CTC - BoQ Agrex Building" xfId="259" xr:uid="{00000000-0005-0000-0000-000003010000}"/>
    <cellStyle name="_KT (2)_5_DT kho 50x72 ,52x45m -11-5" xfId="260" xr:uid="{00000000-0005-0000-0000-000004010000}"/>
    <cellStyle name="_KT (2)_5_DT kho 50x72 ,52x45m ASIA NUTRITION" xfId="261" xr:uid="{00000000-0005-0000-0000-000005010000}"/>
    <cellStyle name="_KT (2)_5_DTCDT MR.2N110.HOCMON.TDTOAN.CCUNG" xfId="262" xr:uid="{00000000-0005-0000-0000-000006010000}"/>
    <cellStyle name="_KT (2)_5_DTkho 52x70m ASIA NUTRITION" xfId="263" xr:uid="{00000000-0005-0000-0000-000007010000}"/>
    <cellStyle name="_KT (2)_5_DTkho 52x70m ASIA NUTRITION-change-tuong bt6m" xfId="264" xr:uid="{00000000-0005-0000-0000-000008010000}"/>
    <cellStyle name="_KT (2)_5_DTkho 52x70m ASIA NUTRITION-seno betong" xfId="265" xr:uid="{00000000-0005-0000-0000-000009010000}"/>
    <cellStyle name="_KT (2)_5_Lora-tungchau" xfId="266" xr:uid="{00000000-0005-0000-0000-00000A010000}"/>
    <cellStyle name="_KT (2)_5_PGIA-phieu tham tra Kho bac" xfId="267" xr:uid="{00000000-0005-0000-0000-00000B010000}"/>
    <cellStyle name="_KT (2)_5_PT02-02" xfId="268" xr:uid="{00000000-0005-0000-0000-00000C010000}"/>
    <cellStyle name="_KT (2)_5_PT02-02_Book1" xfId="269" xr:uid="{00000000-0005-0000-0000-00000D010000}"/>
    <cellStyle name="_KT (2)_5_PT02-03" xfId="270" xr:uid="{00000000-0005-0000-0000-00000E010000}"/>
    <cellStyle name="_KT (2)_5_PT02-03_Book1" xfId="271" xr:uid="{00000000-0005-0000-0000-00000F010000}"/>
    <cellStyle name="_KT (2)_5_Qt-HT3PQ1(CauKho)" xfId="272" xr:uid="{00000000-0005-0000-0000-000010010000}"/>
    <cellStyle name="_KT (2)_Book1" xfId="273" xr:uid="{00000000-0005-0000-0000-000011010000}"/>
    <cellStyle name="_KT (2)_Book1_1" xfId="274" xr:uid="{00000000-0005-0000-0000-000012010000}"/>
    <cellStyle name="_KT (2)_Book1_BC-QT-WB-dthao" xfId="275" xr:uid="{00000000-0005-0000-0000-000013010000}"/>
    <cellStyle name="_KT (2)_Book1_BOQ-Thuan thao (Tai 07May)" xfId="276" xr:uid="{00000000-0005-0000-0000-000014010000}"/>
    <cellStyle name="_KT (2)_Book1_CAU TAO GIA THE OCEAN VILLAS DANANG" xfId="277" xr:uid="{00000000-0005-0000-0000-000015010000}"/>
    <cellStyle name="_KT (2)_Book2" xfId="278" xr:uid="{00000000-0005-0000-0000-000016010000}"/>
    <cellStyle name="_KT (2)_BOQ-Thuan thao (Tai 07May)" xfId="279" xr:uid="{00000000-0005-0000-0000-000017010000}"/>
    <cellStyle name="_KT (2)_Cau tao gia Arico T2-2009" xfId="280" xr:uid="{00000000-0005-0000-0000-000018010000}"/>
    <cellStyle name="_KT (2)_Cau tao gia phan Tho (ham + Than) 15-9-08" xfId="281" xr:uid="{00000000-0005-0000-0000-000019010000}"/>
    <cellStyle name="_KT (2)_CAU TAO GIA THE OCEAN VILLAS DANANG" xfId="282" xr:uid="{00000000-0005-0000-0000-00001A010000}"/>
    <cellStyle name="_KT (2)_cong tac chuan bi Nhatrang Plaza" xfId="283" xr:uid="{00000000-0005-0000-0000-00001B010000}"/>
    <cellStyle name="_KT (2)_Cong tac chuan bi-Thanh" xfId="284" xr:uid="{00000000-0005-0000-0000-00001C010000}"/>
    <cellStyle name="_KT (2)_Copy of Cau tao gia Mau" xfId="285" xr:uid="{00000000-0005-0000-0000-00001D010000}"/>
    <cellStyle name="_KT (2)_CTC - BoQ Agrex Building" xfId="286" xr:uid="{00000000-0005-0000-0000-00001E010000}"/>
    <cellStyle name="_KT (2)_Lora-tungchau" xfId="287" xr:uid="{00000000-0005-0000-0000-00001F010000}"/>
    <cellStyle name="_KT (2)_PERSONAL" xfId="288" xr:uid="{00000000-0005-0000-0000-000020010000}"/>
    <cellStyle name="_KT (2)_PERSONAL_Book1" xfId="289" xr:uid="{00000000-0005-0000-0000-000021010000}"/>
    <cellStyle name="_KT (2)_PERSONAL_BOQ-Thuan thao (Tai 07May)" xfId="290" xr:uid="{00000000-0005-0000-0000-000022010000}"/>
    <cellStyle name="_KT (2)_PERSONAL_CAU TAO GIA THE OCEAN VILLAS DANANG" xfId="291" xr:uid="{00000000-0005-0000-0000-000023010000}"/>
    <cellStyle name="_KT (2)_PERSONAL_Copy of Cau tao gia Mau" xfId="292" xr:uid="{00000000-0005-0000-0000-000024010000}"/>
    <cellStyle name="_KT (2)_PERSONAL_HTQ.8 GD1" xfId="293" xr:uid="{00000000-0005-0000-0000-000025010000}"/>
    <cellStyle name="_KT (2)_PERSONAL_Tong hop KHCB 2001" xfId="294" xr:uid="{00000000-0005-0000-0000-000026010000}"/>
    <cellStyle name="_KT (2)_Qt-HT3PQ1(CauKho)" xfId="295" xr:uid="{00000000-0005-0000-0000-000027010000}"/>
    <cellStyle name="_KT (2)_TG-TH" xfId="296" xr:uid="{00000000-0005-0000-0000-000028010000}"/>
    <cellStyle name="_KT_TG" xfId="297" xr:uid="{00000000-0005-0000-0000-000029010000}"/>
    <cellStyle name="_KT_TG_1" xfId="298" xr:uid="{00000000-0005-0000-0000-00002A010000}"/>
    <cellStyle name="_KT_TG_1_BAO CAO KLCT PT2000" xfId="299" xr:uid="{00000000-0005-0000-0000-00002B010000}"/>
    <cellStyle name="_KT_TG_1_BAO CAO PT2000" xfId="300" xr:uid="{00000000-0005-0000-0000-00002C010000}"/>
    <cellStyle name="_KT_TG_1_BAO CAO PT2000_Book1" xfId="301" xr:uid="{00000000-0005-0000-0000-00002D010000}"/>
    <cellStyle name="_KT_TG_1_Bao cao XDCB 2001 - T11 KH dieu chinh 20-11-THAI" xfId="302" xr:uid="{00000000-0005-0000-0000-00002E010000}"/>
    <cellStyle name="_KT_TG_1_Book1" xfId="303" xr:uid="{00000000-0005-0000-0000-00002F010000}"/>
    <cellStyle name="_KT_TG_1_Book1_1" xfId="304" xr:uid="{00000000-0005-0000-0000-000030010000}"/>
    <cellStyle name="_KT_TG_1_Book1_1_Cong tac chuan bi Cao su" xfId="305" xr:uid="{00000000-0005-0000-0000-000031010000}"/>
    <cellStyle name="_KT_TG_1_Book1_1_CTC - BoQ Agrex Building" xfId="306" xr:uid="{00000000-0005-0000-0000-000032010000}"/>
    <cellStyle name="_KT_TG_1_Book1_2" xfId="307" xr:uid="{00000000-0005-0000-0000-000033010000}"/>
    <cellStyle name="_KT_TG_1_Book1_2_Cong tac chuan bi Cao su" xfId="308" xr:uid="{00000000-0005-0000-0000-000034010000}"/>
    <cellStyle name="_KT_TG_1_Book1_3" xfId="309" xr:uid="{00000000-0005-0000-0000-000035010000}"/>
    <cellStyle name="_KT_TG_1_Book1_4" xfId="310" xr:uid="{00000000-0005-0000-0000-000036010000}"/>
    <cellStyle name="_KT_TG_1_Book1_BC-QT-WB-dthao" xfId="311" xr:uid="{00000000-0005-0000-0000-000037010000}"/>
    <cellStyle name="_KT_TG_1_Book1_Book2" xfId="312" xr:uid="{00000000-0005-0000-0000-000038010000}"/>
    <cellStyle name="_KT_TG_1_Book1_BOQ-Thuan thao (Tai 07May)" xfId="313" xr:uid="{00000000-0005-0000-0000-000039010000}"/>
    <cellStyle name="_KT_TG_1_Book1_Cau tao gia Arico T2-2009" xfId="314" xr:uid="{00000000-0005-0000-0000-00003A010000}"/>
    <cellStyle name="_KT_TG_1_Book1_Cau tao gia phan Tho (ham + Than) 15-9-08" xfId="315" xr:uid="{00000000-0005-0000-0000-00003B010000}"/>
    <cellStyle name="_KT_TG_1_Book1_CAU TAO GIA THE OCEAN VILLAS DANANG" xfId="316" xr:uid="{00000000-0005-0000-0000-00003C010000}"/>
    <cellStyle name="_KT_TG_1_Book1_cong tac chuan bi Nhatrang Plaza" xfId="317" xr:uid="{00000000-0005-0000-0000-00003D010000}"/>
    <cellStyle name="_KT_TG_1_Book1_Cong tac chuan bi-Thanh" xfId="318" xr:uid="{00000000-0005-0000-0000-00003E010000}"/>
    <cellStyle name="_KT_TG_1_Book1_Copy of Cau tao gia Mau" xfId="319" xr:uid="{00000000-0005-0000-0000-00003F010000}"/>
    <cellStyle name="_KT_TG_1_Book1_CTC - BoQ Agrex Building" xfId="320" xr:uid="{00000000-0005-0000-0000-000040010000}"/>
    <cellStyle name="_KT_TG_1_Book2" xfId="321" xr:uid="{00000000-0005-0000-0000-000041010000}"/>
    <cellStyle name="_KT_TG_1_BOQ-Thuan thao (Tai 07May)" xfId="322" xr:uid="{00000000-0005-0000-0000-000042010000}"/>
    <cellStyle name="_KT_TG_1_Cau tao gia Arico T2-2009" xfId="323" xr:uid="{00000000-0005-0000-0000-000043010000}"/>
    <cellStyle name="_KT_TG_1_Cau tao gia phan Tho (ham + Than) 15-9-08" xfId="324" xr:uid="{00000000-0005-0000-0000-000044010000}"/>
    <cellStyle name="_KT_TG_1_CAU TAO GIA THE OCEAN VILLAS DANANG" xfId="325" xr:uid="{00000000-0005-0000-0000-000045010000}"/>
    <cellStyle name="_KT_TG_1_cong tac chuan bi Nhatrang Plaza" xfId="326" xr:uid="{00000000-0005-0000-0000-000046010000}"/>
    <cellStyle name="_KT_TG_1_Cong tac chuan bi-Thanh" xfId="327" xr:uid="{00000000-0005-0000-0000-000047010000}"/>
    <cellStyle name="_KT_TG_1_Copy of Cau tao gia Mau" xfId="328" xr:uid="{00000000-0005-0000-0000-000048010000}"/>
    <cellStyle name="_KT_TG_1_CROWN WELL 冠威報價單20071015" xfId="329" xr:uid="{00000000-0005-0000-0000-000049010000}"/>
    <cellStyle name="_KT_TG_1_CTC - BoQ Agrex Building" xfId="330" xr:uid="{00000000-0005-0000-0000-00004A010000}"/>
    <cellStyle name="_KT_TG_1_DT kho 50x72 ,52x45m -11-5" xfId="331" xr:uid="{00000000-0005-0000-0000-00004B010000}"/>
    <cellStyle name="_KT_TG_1_DT kho 50x72 ,52x45m ASIA NUTRITION" xfId="332" xr:uid="{00000000-0005-0000-0000-00004C010000}"/>
    <cellStyle name="_KT_TG_1_DTCDT MR.2N110.HOCMON.TDTOAN.CCUNG" xfId="333" xr:uid="{00000000-0005-0000-0000-00004D010000}"/>
    <cellStyle name="_KT_TG_1_DTkho 52x70m ASIA NUTRITION" xfId="334" xr:uid="{00000000-0005-0000-0000-00004E010000}"/>
    <cellStyle name="_KT_TG_1_DTkho 52x70m ASIA NUTRITION-change-tuong bt6m" xfId="335" xr:uid="{00000000-0005-0000-0000-00004F010000}"/>
    <cellStyle name="_KT_TG_1_DTkho 52x70m ASIA NUTRITION-seno betong" xfId="336" xr:uid="{00000000-0005-0000-0000-000050010000}"/>
    <cellStyle name="_KT_TG_1_Lora-tungchau" xfId="337" xr:uid="{00000000-0005-0000-0000-000051010000}"/>
    <cellStyle name="_KT_TG_1_PGIA-phieu tham tra Kho bac" xfId="338" xr:uid="{00000000-0005-0000-0000-000052010000}"/>
    <cellStyle name="_KT_TG_1_PT02-02" xfId="339" xr:uid="{00000000-0005-0000-0000-000053010000}"/>
    <cellStyle name="_KT_TG_1_PT02-02_Book1" xfId="340" xr:uid="{00000000-0005-0000-0000-000054010000}"/>
    <cellStyle name="_KT_TG_1_PT02-03" xfId="341" xr:uid="{00000000-0005-0000-0000-000055010000}"/>
    <cellStyle name="_KT_TG_1_PT02-03_Book1" xfId="342" xr:uid="{00000000-0005-0000-0000-000056010000}"/>
    <cellStyle name="_KT_TG_1_Qt-HT3PQ1(CauKho)" xfId="343" xr:uid="{00000000-0005-0000-0000-000057010000}"/>
    <cellStyle name="_KT_TG_2" xfId="344" xr:uid="{00000000-0005-0000-0000-000058010000}"/>
    <cellStyle name="_KT_TG_2_BAO CAO KLCT PT2000" xfId="345" xr:uid="{00000000-0005-0000-0000-000059010000}"/>
    <cellStyle name="_KT_TG_2_BAO CAO PT2000" xfId="346" xr:uid="{00000000-0005-0000-0000-00005A010000}"/>
    <cellStyle name="_KT_TG_2_BAO CAO PT2000_Book1" xfId="347" xr:uid="{00000000-0005-0000-0000-00005B010000}"/>
    <cellStyle name="_KT_TG_2_Bao cao XDCB 2001 - T11 KH dieu chinh 20-11-THAI" xfId="348" xr:uid="{00000000-0005-0000-0000-00005C010000}"/>
    <cellStyle name="_KT_TG_2_Book1" xfId="349" xr:uid="{00000000-0005-0000-0000-00005D010000}"/>
    <cellStyle name="_KT_TG_2_Book1_1" xfId="350" xr:uid="{00000000-0005-0000-0000-00005E010000}"/>
    <cellStyle name="_KT_TG_2_Book1_1_Cong tac chuan bi Cao su" xfId="351" xr:uid="{00000000-0005-0000-0000-00005F010000}"/>
    <cellStyle name="_KT_TG_2_Book1_1_CTC - BoQ Agrex Building" xfId="352" xr:uid="{00000000-0005-0000-0000-000060010000}"/>
    <cellStyle name="_KT_TG_2_Book1_2" xfId="353" xr:uid="{00000000-0005-0000-0000-000061010000}"/>
    <cellStyle name="_KT_TG_2_Book1_2_Cong tac chuan bi Cao su" xfId="354" xr:uid="{00000000-0005-0000-0000-000062010000}"/>
    <cellStyle name="_KT_TG_2_Book1_3" xfId="355" xr:uid="{00000000-0005-0000-0000-000063010000}"/>
    <cellStyle name="_KT_TG_2_Book1_4" xfId="356" xr:uid="{00000000-0005-0000-0000-000064010000}"/>
    <cellStyle name="_KT_TG_2_Book1_Book2" xfId="357" xr:uid="{00000000-0005-0000-0000-000065010000}"/>
    <cellStyle name="_KT_TG_2_Book1_BOQ-Thuan thao (Tai 07May)" xfId="358" xr:uid="{00000000-0005-0000-0000-000066010000}"/>
    <cellStyle name="_KT_TG_2_Book1_Cau tao gia Arico T2-2009" xfId="359" xr:uid="{00000000-0005-0000-0000-000067010000}"/>
    <cellStyle name="_KT_TG_2_Book1_Cau tao gia phan Tho (ham + Than) 15-9-08" xfId="360" xr:uid="{00000000-0005-0000-0000-000068010000}"/>
    <cellStyle name="_KT_TG_2_Book1_CAU TAO GIA THE OCEAN VILLAS DANANG" xfId="361" xr:uid="{00000000-0005-0000-0000-000069010000}"/>
    <cellStyle name="_KT_TG_2_Book1_cong tac chuan bi Nhatrang Plaza" xfId="362" xr:uid="{00000000-0005-0000-0000-00006A010000}"/>
    <cellStyle name="_KT_TG_2_Book1_Cong tac chuan bi-Thanh" xfId="363" xr:uid="{00000000-0005-0000-0000-00006B010000}"/>
    <cellStyle name="_KT_TG_2_Book1_Copy of Cau tao gia Mau" xfId="364" xr:uid="{00000000-0005-0000-0000-00006C010000}"/>
    <cellStyle name="_KT_TG_2_Book1_CTC - BoQ Agrex Building" xfId="365" xr:uid="{00000000-0005-0000-0000-00006D010000}"/>
    <cellStyle name="_KT_TG_2_Book2" xfId="366" xr:uid="{00000000-0005-0000-0000-00006E010000}"/>
    <cellStyle name="_KT_TG_2_BOQ-Thuan thao (Tai 07May)" xfId="367" xr:uid="{00000000-0005-0000-0000-00006F010000}"/>
    <cellStyle name="_KT_TG_2_Cau tao gia Arico T2-2009" xfId="368" xr:uid="{00000000-0005-0000-0000-000070010000}"/>
    <cellStyle name="_KT_TG_2_Cau tao gia phan Tho (ham + Than) 15-9-08" xfId="369" xr:uid="{00000000-0005-0000-0000-000071010000}"/>
    <cellStyle name="_KT_TG_2_CAU TAO GIA THE OCEAN VILLAS DANANG" xfId="370" xr:uid="{00000000-0005-0000-0000-000072010000}"/>
    <cellStyle name="_KT_TG_2_cong tac chuan bi Nhatrang Plaza" xfId="371" xr:uid="{00000000-0005-0000-0000-000073010000}"/>
    <cellStyle name="_KT_TG_2_Cong tac chuan bi-Thanh" xfId="372" xr:uid="{00000000-0005-0000-0000-000074010000}"/>
    <cellStyle name="_KT_TG_2_Copy of Cau tao gia Mau" xfId="373" xr:uid="{00000000-0005-0000-0000-000075010000}"/>
    <cellStyle name="_KT_TG_2_CROWN WELL 冠威報價單20071015" xfId="374" xr:uid="{00000000-0005-0000-0000-000076010000}"/>
    <cellStyle name="_KT_TG_2_CTC - BoQ Agrex Building" xfId="375" xr:uid="{00000000-0005-0000-0000-000077010000}"/>
    <cellStyle name="_KT_TG_2_DT kho 50x72 ,52x45m -11-5" xfId="376" xr:uid="{00000000-0005-0000-0000-000078010000}"/>
    <cellStyle name="_KT_TG_2_DT kho 50x72 ,52x45m ASIA NUTRITION" xfId="377" xr:uid="{00000000-0005-0000-0000-000079010000}"/>
    <cellStyle name="_KT_TG_2_DTCDT MR.2N110.HOCMON.TDTOAN.CCUNG" xfId="378" xr:uid="{00000000-0005-0000-0000-00007A010000}"/>
    <cellStyle name="_KT_TG_2_DTkho 52x70m ASIA NUTRITION" xfId="379" xr:uid="{00000000-0005-0000-0000-00007B010000}"/>
    <cellStyle name="_KT_TG_2_DTkho 52x70m ASIA NUTRITION-change-tuong bt6m" xfId="380" xr:uid="{00000000-0005-0000-0000-00007C010000}"/>
    <cellStyle name="_KT_TG_2_DTkho 52x70m ASIA NUTRITION-seno betong" xfId="381" xr:uid="{00000000-0005-0000-0000-00007D010000}"/>
    <cellStyle name="_KT_TG_2_Lora-tungchau" xfId="382" xr:uid="{00000000-0005-0000-0000-00007E010000}"/>
    <cellStyle name="_KT_TG_2_PGIA-phieu tham tra Kho bac" xfId="383" xr:uid="{00000000-0005-0000-0000-00007F010000}"/>
    <cellStyle name="_KT_TG_2_PT02-02" xfId="384" xr:uid="{00000000-0005-0000-0000-000080010000}"/>
    <cellStyle name="_KT_TG_2_PT02-02_Book1" xfId="385" xr:uid="{00000000-0005-0000-0000-000081010000}"/>
    <cellStyle name="_KT_TG_2_PT02-03" xfId="386" xr:uid="{00000000-0005-0000-0000-000082010000}"/>
    <cellStyle name="_KT_TG_2_PT02-03_Book1" xfId="387" xr:uid="{00000000-0005-0000-0000-000083010000}"/>
    <cellStyle name="_KT_TG_2_Qt-HT3PQ1(CauKho)" xfId="388" xr:uid="{00000000-0005-0000-0000-000084010000}"/>
    <cellStyle name="_KT_TG_3" xfId="389" xr:uid="{00000000-0005-0000-0000-000085010000}"/>
    <cellStyle name="_KT_TG_4" xfId="390" xr:uid="{00000000-0005-0000-0000-000086010000}"/>
    <cellStyle name="_KT_TG_4_Lora-tungchau" xfId="391" xr:uid="{00000000-0005-0000-0000-000087010000}"/>
    <cellStyle name="_KT_TG_4_Qt-HT3PQ1(CauKho)" xfId="392" xr:uid="{00000000-0005-0000-0000-000088010000}"/>
    <cellStyle name="_Lora-tungchau" xfId="394" xr:uid="{00000000-0005-0000-0000-00008A010000}"/>
    <cellStyle name="_OFG-mockup1_1_Jan CPA2_CD UM 11.3 Summary 0.6 OFA 5" xfId="395" xr:uid="{00000000-0005-0000-0000-00008B010000}"/>
    <cellStyle name="_PERSONAL" xfId="396" xr:uid="{00000000-0005-0000-0000-00008C010000}"/>
    <cellStyle name="_PERSONAL_Book1" xfId="397" xr:uid="{00000000-0005-0000-0000-00008D010000}"/>
    <cellStyle name="_PERSONAL_BOQ-Thuan thao (Tai 07May)" xfId="398" xr:uid="{00000000-0005-0000-0000-00008E010000}"/>
    <cellStyle name="_PERSONAL_CAU TAO GIA THE OCEAN VILLAS DANANG" xfId="399" xr:uid="{00000000-0005-0000-0000-00008F010000}"/>
    <cellStyle name="_PERSONAL_Copy of Cau tao gia Mau" xfId="400" xr:uid="{00000000-0005-0000-0000-000090010000}"/>
    <cellStyle name="_PERSONAL_HTQ.8 GD1" xfId="401" xr:uid="{00000000-0005-0000-0000-000091010000}"/>
    <cellStyle name="_PERSONAL_Tong hop KHCB 2001" xfId="402" xr:uid="{00000000-0005-0000-0000-000092010000}"/>
    <cellStyle name="_Qt-HT3PQ1(CauKho)" xfId="403" xr:uid="{00000000-0005-0000-0000-000093010000}"/>
    <cellStyle name="_Sheet2" xfId="404" xr:uid="{00000000-0005-0000-0000-000094010000}"/>
    <cellStyle name="_TG-TH" xfId="405" xr:uid="{00000000-0005-0000-0000-000095010000}"/>
    <cellStyle name="_TG-TH_1" xfId="406" xr:uid="{00000000-0005-0000-0000-000096010000}"/>
    <cellStyle name="_TG-TH_1_BAO CAO KLCT PT2000" xfId="407" xr:uid="{00000000-0005-0000-0000-000097010000}"/>
    <cellStyle name="_TG-TH_1_BAO CAO PT2000" xfId="408" xr:uid="{00000000-0005-0000-0000-000098010000}"/>
    <cellStyle name="_TG-TH_1_BAO CAO PT2000_Book1" xfId="409" xr:uid="{00000000-0005-0000-0000-000099010000}"/>
    <cellStyle name="_TG-TH_1_Bao cao XDCB 2001 - T11 KH dieu chinh 20-11-THAI" xfId="410" xr:uid="{00000000-0005-0000-0000-00009A010000}"/>
    <cellStyle name="_TG-TH_1_Book1" xfId="411" xr:uid="{00000000-0005-0000-0000-00009B010000}"/>
    <cellStyle name="_TG-TH_1_Book1_1" xfId="412" xr:uid="{00000000-0005-0000-0000-00009C010000}"/>
    <cellStyle name="_TG-TH_1_Book1_1_Cong tac chuan bi Cao su" xfId="413" xr:uid="{00000000-0005-0000-0000-00009D010000}"/>
    <cellStyle name="_TG-TH_1_Book1_1_CTC - BoQ Agrex Building" xfId="414" xr:uid="{00000000-0005-0000-0000-00009E010000}"/>
    <cellStyle name="_TG-TH_1_Book1_2" xfId="415" xr:uid="{00000000-0005-0000-0000-00009F010000}"/>
    <cellStyle name="_TG-TH_1_Book1_2_Cong tac chuan bi Cao su" xfId="416" xr:uid="{00000000-0005-0000-0000-0000A0010000}"/>
    <cellStyle name="_TG-TH_1_Book1_3" xfId="417" xr:uid="{00000000-0005-0000-0000-0000A1010000}"/>
    <cellStyle name="_TG-TH_1_Book1_4" xfId="418" xr:uid="{00000000-0005-0000-0000-0000A2010000}"/>
    <cellStyle name="_TG-TH_1_Book1_BC-QT-WB-dthao" xfId="419" xr:uid="{00000000-0005-0000-0000-0000A3010000}"/>
    <cellStyle name="_TG-TH_1_Book1_Book2" xfId="420" xr:uid="{00000000-0005-0000-0000-0000A4010000}"/>
    <cellStyle name="_TG-TH_1_Book1_BOQ-Thuan thao (Tai 07May)" xfId="421" xr:uid="{00000000-0005-0000-0000-0000A5010000}"/>
    <cellStyle name="_TG-TH_1_Book1_Cau tao gia Arico T2-2009" xfId="422" xr:uid="{00000000-0005-0000-0000-0000A6010000}"/>
    <cellStyle name="_TG-TH_1_Book1_Cau tao gia phan Tho (ham + Than) 15-9-08" xfId="423" xr:uid="{00000000-0005-0000-0000-0000A7010000}"/>
    <cellStyle name="_TG-TH_1_Book1_CAU TAO GIA THE OCEAN VILLAS DANANG" xfId="424" xr:uid="{00000000-0005-0000-0000-0000A8010000}"/>
    <cellStyle name="_TG-TH_1_Book1_cong tac chuan bi Nhatrang Plaza" xfId="425" xr:uid="{00000000-0005-0000-0000-0000A9010000}"/>
    <cellStyle name="_TG-TH_1_Book1_Cong tac chuan bi-Thanh" xfId="426" xr:uid="{00000000-0005-0000-0000-0000AA010000}"/>
    <cellStyle name="_TG-TH_1_Book1_Copy of Cau tao gia Mau" xfId="427" xr:uid="{00000000-0005-0000-0000-0000AB010000}"/>
    <cellStyle name="_TG-TH_1_Book1_CTC - BoQ Agrex Building" xfId="428" xr:uid="{00000000-0005-0000-0000-0000AC010000}"/>
    <cellStyle name="_TG-TH_1_Book2" xfId="429" xr:uid="{00000000-0005-0000-0000-0000AD010000}"/>
    <cellStyle name="_TG-TH_1_BOQ-Thuan thao (Tai 07May)" xfId="430" xr:uid="{00000000-0005-0000-0000-0000AE010000}"/>
    <cellStyle name="_TG-TH_1_Cau tao gia Arico T2-2009" xfId="431" xr:uid="{00000000-0005-0000-0000-0000AF010000}"/>
    <cellStyle name="_TG-TH_1_Cau tao gia phan Tho (ham + Than) 15-9-08" xfId="432" xr:uid="{00000000-0005-0000-0000-0000B0010000}"/>
    <cellStyle name="_TG-TH_1_CAU TAO GIA THE OCEAN VILLAS DANANG" xfId="433" xr:uid="{00000000-0005-0000-0000-0000B1010000}"/>
    <cellStyle name="_TG-TH_1_cong tac chuan bi Nhatrang Plaza" xfId="434" xr:uid="{00000000-0005-0000-0000-0000B2010000}"/>
    <cellStyle name="_TG-TH_1_Cong tac chuan bi-Thanh" xfId="435" xr:uid="{00000000-0005-0000-0000-0000B3010000}"/>
    <cellStyle name="_TG-TH_1_Copy of Cau tao gia Mau" xfId="436" xr:uid="{00000000-0005-0000-0000-0000B4010000}"/>
    <cellStyle name="_TG-TH_1_CROWN WELL 冠威報價單20071015" xfId="437" xr:uid="{00000000-0005-0000-0000-0000B5010000}"/>
    <cellStyle name="_TG-TH_1_CTC - BoQ Agrex Building" xfId="438" xr:uid="{00000000-0005-0000-0000-0000B6010000}"/>
    <cellStyle name="_TG-TH_1_DT kho 50x72 ,52x45m -11-5" xfId="439" xr:uid="{00000000-0005-0000-0000-0000B7010000}"/>
    <cellStyle name="_TG-TH_1_DT kho 50x72 ,52x45m ASIA NUTRITION" xfId="440" xr:uid="{00000000-0005-0000-0000-0000B8010000}"/>
    <cellStyle name="_TG-TH_1_DTCDT MR.2N110.HOCMON.TDTOAN.CCUNG" xfId="441" xr:uid="{00000000-0005-0000-0000-0000B9010000}"/>
    <cellStyle name="_TG-TH_1_DTkho 52x70m ASIA NUTRITION" xfId="442" xr:uid="{00000000-0005-0000-0000-0000BA010000}"/>
    <cellStyle name="_TG-TH_1_DTkho 52x70m ASIA NUTRITION-change-tuong bt6m" xfId="443" xr:uid="{00000000-0005-0000-0000-0000BB010000}"/>
    <cellStyle name="_TG-TH_1_DTkho 52x70m ASIA NUTRITION-seno betong" xfId="444" xr:uid="{00000000-0005-0000-0000-0000BC010000}"/>
    <cellStyle name="_TG-TH_1_Lora-tungchau" xfId="445" xr:uid="{00000000-0005-0000-0000-0000BD010000}"/>
    <cellStyle name="_TG-TH_1_PGIA-phieu tham tra Kho bac" xfId="446" xr:uid="{00000000-0005-0000-0000-0000BE010000}"/>
    <cellStyle name="_TG-TH_1_PT02-02" xfId="447" xr:uid="{00000000-0005-0000-0000-0000BF010000}"/>
    <cellStyle name="_TG-TH_1_PT02-02_Book1" xfId="448" xr:uid="{00000000-0005-0000-0000-0000C0010000}"/>
    <cellStyle name="_TG-TH_1_PT02-03" xfId="449" xr:uid="{00000000-0005-0000-0000-0000C1010000}"/>
    <cellStyle name="_TG-TH_1_PT02-03_Book1" xfId="450" xr:uid="{00000000-0005-0000-0000-0000C2010000}"/>
    <cellStyle name="_TG-TH_1_Qt-HT3PQ1(CauKho)" xfId="451" xr:uid="{00000000-0005-0000-0000-0000C3010000}"/>
    <cellStyle name="_TG-TH_2" xfId="452" xr:uid="{00000000-0005-0000-0000-0000C4010000}"/>
    <cellStyle name="_TG-TH_2_BAO CAO KLCT PT2000" xfId="453" xr:uid="{00000000-0005-0000-0000-0000C5010000}"/>
    <cellStyle name="_TG-TH_2_BAO CAO PT2000" xfId="454" xr:uid="{00000000-0005-0000-0000-0000C6010000}"/>
    <cellStyle name="_TG-TH_2_BAO CAO PT2000_Book1" xfId="455" xr:uid="{00000000-0005-0000-0000-0000C7010000}"/>
    <cellStyle name="_TG-TH_2_Bao cao XDCB 2001 - T11 KH dieu chinh 20-11-THAI" xfId="456" xr:uid="{00000000-0005-0000-0000-0000C8010000}"/>
    <cellStyle name="_TG-TH_2_Book1" xfId="457" xr:uid="{00000000-0005-0000-0000-0000C9010000}"/>
    <cellStyle name="_TG-TH_2_Book1_1" xfId="458" xr:uid="{00000000-0005-0000-0000-0000CA010000}"/>
    <cellStyle name="_TG-TH_2_Book1_1_Cong tac chuan bi Cao su" xfId="459" xr:uid="{00000000-0005-0000-0000-0000CB010000}"/>
    <cellStyle name="_TG-TH_2_Book1_1_CTC - BoQ Agrex Building" xfId="460" xr:uid="{00000000-0005-0000-0000-0000CC010000}"/>
    <cellStyle name="_TG-TH_2_Book1_2" xfId="461" xr:uid="{00000000-0005-0000-0000-0000CD010000}"/>
    <cellStyle name="_TG-TH_2_Book1_2_Cong tac chuan bi Cao su" xfId="462" xr:uid="{00000000-0005-0000-0000-0000CE010000}"/>
    <cellStyle name="_TG-TH_2_Book1_3" xfId="463" xr:uid="{00000000-0005-0000-0000-0000CF010000}"/>
    <cellStyle name="_TG-TH_2_Book1_4" xfId="464" xr:uid="{00000000-0005-0000-0000-0000D0010000}"/>
    <cellStyle name="_TG-TH_2_Book1_Book2" xfId="465" xr:uid="{00000000-0005-0000-0000-0000D1010000}"/>
    <cellStyle name="_TG-TH_2_Book1_BOQ-Thuan thao (Tai 07May)" xfId="466" xr:uid="{00000000-0005-0000-0000-0000D2010000}"/>
    <cellStyle name="_TG-TH_2_Book1_Cau tao gia Arico T2-2009" xfId="467" xr:uid="{00000000-0005-0000-0000-0000D3010000}"/>
    <cellStyle name="_TG-TH_2_Book1_Cau tao gia phan Tho (ham + Than) 15-9-08" xfId="468" xr:uid="{00000000-0005-0000-0000-0000D4010000}"/>
    <cellStyle name="_TG-TH_2_Book1_CAU TAO GIA THE OCEAN VILLAS DANANG" xfId="469" xr:uid="{00000000-0005-0000-0000-0000D5010000}"/>
    <cellStyle name="_TG-TH_2_Book1_cong tac chuan bi Nhatrang Plaza" xfId="470" xr:uid="{00000000-0005-0000-0000-0000D6010000}"/>
    <cellStyle name="_TG-TH_2_Book1_Cong tac chuan bi-Thanh" xfId="471" xr:uid="{00000000-0005-0000-0000-0000D7010000}"/>
    <cellStyle name="_TG-TH_2_Book1_Copy of Cau tao gia Mau" xfId="472" xr:uid="{00000000-0005-0000-0000-0000D8010000}"/>
    <cellStyle name="_TG-TH_2_Book1_CTC - BoQ Agrex Building" xfId="473" xr:uid="{00000000-0005-0000-0000-0000D9010000}"/>
    <cellStyle name="_TG-TH_2_Book2" xfId="474" xr:uid="{00000000-0005-0000-0000-0000DA010000}"/>
    <cellStyle name="_TG-TH_2_BOQ-Thuan thao (Tai 07May)" xfId="475" xr:uid="{00000000-0005-0000-0000-0000DB010000}"/>
    <cellStyle name="_TG-TH_2_Cau tao gia Arico T2-2009" xfId="476" xr:uid="{00000000-0005-0000-0000-0000DC010000}"/>
    <cellStyle name="_TG-TH_2_Cau tao gia phan Tho (ham + Than) 15-9-08" xfId="477" xr:uid="{00000000-0005-0000-0000-0000DD010000}"/>
    <cellStyle name="_TG-TH_2_CAU TAO GIA THE OCEAN VILLAS DANANG" xfId="478" xr:uid="{00000000-0005-0000-0000-0000DE010000}"/>
    <cellStyle name="_TG-TH_2_cong tac chuan bi Nhatrang Plaza" xfId="479" xr:uid="{00000000-0005-0000-0000-0000DF010000}"/>
    <cellStyle name="_TG-TH_2_Cong tac chuan bi-Thanh" xfId="480" xr:uid="{00000000-0005-0000-0000-0000E0010000}"/>
    <cellStyle name="_TG-TH_2_Copy of Cau tao gia Mau" xfId="481" xr:uid="{00000000-0005-0000-0000-0000E1010000}"/>
    <cellStyle name="_TG-TH_2_CROWN WELL 冠威報價單20071015" xfId="482" xr:uid="{00000000-0005-0000-0000-0000E2010000}"/>
    <cellStyle name="_TG-TH_2_CTC - BoQ Agrex Building" xfId="483" xr:uid="{00000000-0005-0000-0000-0000E3010000}"/>
    <cellStyle name="_TG-TH_2_DT kho 50x72 ,52x45m -11-5" xfId="484" xr:uid="{00000000-0005-0000-0000-0000E4010000}"/>
    <cellStyle name="_TG-TH_2_DT kho 50x72 ,52x45m ASIA NUTRITION" xfId="485" xr:uid="{00000000-0005-0000-0000-0000E5010000}"/>
    <cellStyle name="_TG-TH_2_DTCDT MR.2N110.HOCMON.TDTOAN.CCUNG" xfId="486" xr:uid="{00000000-0005-0000-0000-0000E6010000}"/>
    <cellStyle name="_TG-TH_2_DTkho 52x70m ASIA NUTRITION" xfId="487" xr:uid="{00000000-0005-0000-0000-0000E7010000}"/>
    <cellStyle name="_TG-TH_2_DTkho 52x70m ASIA NUTRITION-change-tuong bt6m" xfId="488" xr:uid="{00000000-0005-0000-0000-0000E8010000}"/>
    <cellStyle name="_TG-TH_2_DTkho 52x70m ASIA NUTRITION-seno betong" xfId="489" xr:uid="{00000000-0005-0000-0000-0000E9010000}"/>
    <cellStyle name="_TG-TH_2_Lora-tungchau" xfId="490" xr:uid="{00000000-0005-0000-0000-0000EA010000}"/>
    <cellStyle name="_TG-TH_2_PGIA-phieu tham tra Kho bac" xfId="491" xr:uid="{00000000-0005-0000-0000-0000EB010000}"/>
    <cellStyle name="_TG-TH_2_PT02-02" xfId="492" xr:uid="{00000000-0005-0000-0000-0000EC010000}"/>
    <cellStyle name="_TG-TH_2_PT02-02_Book1" xfId="493" xr:uid="{00000000-0005-0000-0000-0000ED010000}"/>
    <cellStyle name="_TG-TH_2_PT02-03" xfId="494" xr:uid="{00000000-0005-0000-0000-0000EE010000}"/>
    <cellStyle name="_TG-TH_2_PT02-03_Book1" xfId="495" xr:uid="{00000000-0005-0000-0000-0000EF010000}"/>
    <cellStyle name="_TG-TH_2_Qt-HT3PQ1(CauKho)" xfId="496" xr:uid="{00000000-0005-0000-0000-0000F0010000}"/>
    <cellStyle name="_TG-TH_3" xfId="497" xr:uid="{00000000-0005-0000-0000-0000F1010000}"/>
    <cellStyle name="_TG-TH_3_Lora-tungchau" xfId="498" xr:uid="{00000000-0005-0000-0000-0000F2010000}"/>
    <cellStyle name="_TG-TH_3_Qt-HT3PQ1(CauKho)" xfId="499" xr:uid="{00000000-0005-0000-0000-0000F3010000}"/>
    <cellStyle name="_TG-TH_4" xfId="500" xr:uid="{00000000-0005-0000-0000-0000F4010000}"/>
    <cellStyle name="_Thau phu NCC" xfId="505" xr:uid="{00000000-0005-0000-0000-0000F9010000}"/>
    <cellStyle name="_THEP BINH TAY" xfId="506" xr:uid="{00000000-0005-0000-0000-0000FA010000}"/>
    <cellStyle name="_Thong tin chung Groz" xfId="507" xr:uid="{00000000-0005-0000-0000-0000FB010000}"/>
    <cellStyle name="_To Mr Cang -Cotecons Hanh phuc Hosp Dr" xfId="501" xr:uid="{00000000-0005-0000-0000-0000F5010000}"/>
    <cellStyle name="_TONG HOP BETONG HAI AU " xfId="502" xr:uid="{00000000-0005-0000-0000-0000F6010000}"/>
    <cellStyle name="_TUONG RAO" xfId="503" xr:uid="{00000000-0005-0000-0000-0000F7010000}"/>
    <cellStyle name="_TUONG RAO_1" xfId="504" xr:uid="{00000000-0005-0000-0000-0000F8010000}"/>
    <cellStyle name="_Villa A,B,C,D-Coteccons" xfId="508" xr:uid="{00000000-0005-0000-0000-0000FC010000}"/>
    <cellStyle name="_YC bao gia-Phan cong CV River Garden" xfId="509" xr:uid="{00000000-0005-0000-0000-0000FD010000}"/>
    <cellStyle name="~1" xfId="510" xr:uid="{00000000-0005-0000-0000-0000FE010000}"/>
    <cellStyle name="•W?_Format" xfId="511" xr:uid="{00000000-0005-0000-0000-0000FF010000}"/>
    <cellStyle name="•W€_Format" xfId="512" xr:uid="{00000000-0005-0000-0000-000000020000}"/>
    <cellStyle name="•W_Format" xfId="513" xr:uid="{00000000-0005-0000-0000-000001020000}"/>
    <cellStyle name="\¦ÏÝÌnCp[N" xfId="514" xr:uid="{00000000-0005-0000-0000-000002020000}"/>
    <cellStyle name="aOe [0.00]_s-ns-bq" xfId="515" xr:uid="{00000000-0005-0000-0000-000003020000}"/>
    <cellStyle name="aOe_s-ns-bq" xfId="516" xr:uid="{00000000-0005-0000-0000-000004020000}"/>
    <cellStyle name="EY [0.00]_CONDITION (2)" xfId="517" xr:uid="{00000000-0005-0000-0000-000005020000}"/>
    <cellStyle name="EY_CONDITION (2)" xfId="518" xr:uid="{00000000-0005-0000-0000-000006020000}"/>
    <cellStyle name="nCp[N" xfId="519" xr:uid="{00000000-0005-0000-0000-000007020000}"/>
    <cellStyle name="W_D8" xfId="520" xr:uid="{00000000-0005-0000-0000-000008020000}"/>
    <cellStyle name="0.Title" xfId="1294" xr:uid="{00000000-0005-0000-0000-00000E050000}"/>
    <cellStyle name="1" xfId="521" xr:uid="{00000000-0005-0000-0000-000009020000}"/>
    <cellStyle name="1.DIV-LV1" xfId="1298" xr:uid="{00000000-0005-0000-0000-000012050000}"/>
    <cellStyle name="1_kho luong bo sung ACMV" xfId="522" xr:uid="{00000000-0005-0000-0000-00000A020000}"/>
    <cellStyle name="¹éºÐÀ²_      " xfId="523" xr:uid="{00000000-0005-0000-0000-00000B020000}"/>
    <cellStyle name="2" xfId="524" xr:uid="{00000000-0005-0000-0000-00000C020000}"/>
    <cellStyle name="20% - Accent1 2" xfId="525" xr:uid="{00000000-0005-0000-0000-00000D020000}"/>
    <cellStyle name="20% - Accent2 2" xfId="526" xr:uid="{00000000-0005-0000-0000-00000E020000}"/>
    <cellStyle name="20% - Accent3 2" xfId="527" xr:uid="{00000000-0005-0000-0000-00000F020000}"/>
    <cellStyle name="20% - Accent4 2" xfId="528" xr:uid="{00000000-0005-0000-0000-000010020000}"/>
    <cellStyle name="20% - Accent5 2" xfId="529" xr:uid="{00000000-0005-0000-0000-000011020000}"/>
    <cellStyle name="20% - Accent6 2" xfId="530" xr:uid="{00000000-0005-0000-0000-000012020000}"/>
    <cellStyle name="20% - 輔色1" xfId="531" xr:uid="{00000000-0005-0000-0000-000013020000}"/>
    <cellStyle name="20% - 輔色2" xfId="532" xr:uid="{00000000-0005-0000-0000-000014020000}"/>
    <cellStyle name="20% - 輔色3" xfId="533" xr:uid="{00000000-0005-0000-0000-000015020000}"/>
    <cellStyle name="20% - 輔色4" xfId="534" xr:uid="{00000000-0005-0000-0000-000016020000}"/>
    <cellStyle name="20% - 輔色5" xfId="535" xr:uid="{00000000-0005-0000-0000-000017020000}"/>
    <cellStyle name="20% - 輔色6" xfId="536" xr:uid="{00000000-0005-0000-0000-000018020000}"/>
    <cellStyle name="3" xfId="537" xr:uid="{00000000-0005-0000-0000-000019020000}"/>
    <cellStyle name="3.Type(opt)" xfId="1300" xr:uid="{00000000-0005-0000-0000-000014050000}"/>
    <cellStyle name="4" xfId="538" xr:uid="{00000000-0005-0000-0000-00001A020000}"/>
    <cellStyle name="4.Descriptions" xfId="1301" xr:uid="{00000000-0005-0000-0000-000015050000}"/>
    <cellStyle name="40% - Accent1 2" xfId="539" xr:uid="{00000000-0005-0000-0000-00001B020000}"/>
    <cellStyle name="40% - Accent2 2" xfId="540" xr:uid="{00000000-0005-0000-0000-00001C020000}"/>
    <cellStyle name="40% - Accent3 2" xfId="541" xr:uid="{00000000-0005-0000-0000-00001D020000}"/>
    <cellStyle name="40% - Accent4 2" xfId="542" xr:uid="{00000000-0005-0000-0000-00001E020000}"/>
    <cellStyle name="40% - Accent5 2" xfId="543" xr:uid="{00000000-0005-0000-0000-00001F020000}"/>
    <cellStyle name="40% - Accent6 2" xfId="544" xr:uid="{00000000-0005-0000-0000-000020020000}"/>
    <cellStyle name="40% - 輔色1" xfId="545" xr:uid="{00000000-0005-0000-0000-000021020000}"/>
    <cellStyle name="40% - 輔色2" xfId="546" xr:uid="{00000000-0005-0000-0000-000022020000}"/>
    <cellStyle name="40% - 輔色3" xfId="547" xr:uid="{00000000-0005-0000-0000-000023020000}"/>
    <cellStyle name="40% - 輔色4" xfId="548" xr:uid="{00000000-0005-0000-0000-000024020000}"/>
    <cellStyle name="40% - 輔色5" xfId="549" xr:uid="{00000000-0005-0000-0000-000025020000}"/>
    <cellStyle name="40% - 輔色6" xfId="550" xr:uid="{00000000-0005-0000-0000-000026020000}"/>
    <cellStyle name="5.Zone (Qty)" xfId="1299" xr:uid="{00000000-0005-0000-0000-000013050000}"/>
    <cellStyle name="6.Level (Qty)" xfId="1302" xr:uid="{00000000-0005-0000-0000-000016050000}"/>
    <cellStyle name="60% - Accent1 2" xfId="551" xr:uid="{00000000-0005-0000-0000-000027020000}"/>
    <cellStyle name="60% - Accent2 2" xfId="552" xr:uid="{00000000-0005-0000-0000-000028020000}"/>
    <cellStyle name="60% - Accent3 2" xfId="553" xr:uid="{00000000-0005-0000-0000-000029020000}"/>
    <cellStyle name="60% - Accent4 2" xfId="554" xr:uid="{00000000-0005-0000-0000-00002A020000}"/>
    <cellStyle name="60% - Accent5 2" xfId="555" xr:uid="{00000000-0005-0000-0000-00002B020000}"/>
    <cellStyle name="60% - Accent6 2" xfId="556" xr:uid="{00000000-0005-0000-0000-00002C020000}"/>
    <cellStyle name="60% - 輔色1" xfId="557" xr:uid="{00000000-0005-0000-0000-00002D020000}"/>
    <cellStyle name="60% - 輔色2" xfId="558" xr:uid="{00000000-0005-0000-0000-00002E020000}"/>
    <cellStyle name="60% - 輔色3" xfId="559" xr:uid="{00000000-0005-0000-0000-00002F020000}"/>
    <cellStyle name="60% - 輔色4" xfId="560" xr:uid="{00000000-0005-0000-0000-000030020000}"/>
    <cellStyle name="60% - 輔色5" xfId="561" xr:uid="{00000000-0005-0000-0000-000031020000}"/>
    <cellStyle name="60% - 輔色6" xfId="562" xr:uid="{00000000-0005-0000-0000-000032020000}"/>
    <cellStyle name="Accent1 2" xfId="563" xr:uid="{00000000-0005-0000-0000-000033020000}"/>
    <cellStyle name="Accent2 2" xfId="564" xr:uid="{00000000-0005-0000-0000-000034020000}"/>
    <cellStyle name="Accent3 2" xfId="565" xr:uid="{00000000-0005-0000-0000-000035020000}"/>
    <cellStyle name="Accent4 2" xfId="566" xr:uid="{00000000-0005-0000-0000-000036020000}"/>
    <cellStyle name="Accent5 2" xfId="567" xr:uid="{00000000-0005-0000-0000-000037020000}"/>
    <cellStyle name="Accent6 2" xfId="568" xr:uid="{00000000-0005-0000-0000-000038020000}"/>
    <cellStyle name="ÅëÈ­ [0]_      " xfId="569" xr:uid="{00000000-0005-0000-0000-000039020000}"/>
    <cellStyle name="AeE­ [0]_INQUIRY ¿?¾÷AßAø " xfId="570" xr:uid="{00000000-0005-0000-0000-00003A020000}"/>
    <cellStyle name="ÅëÈ­ [0]_L601CPT" xfId="571" xr:uid="{00000000-0005-0000-0000-00003B020000}"/>
    <cellStyle name="ÅëÈ­_      " xfId="572" xr:uid="{00000000-0005-0000-0000-00003C020000}"/>
    <cellStyle name="AeE­_INQUIRY ¿?¾÷AßAø " xfId="573" xr:uid="{00000000-0005-0000-0000-00003D020000}"/>
    <cellStyle name="ÅëÈ­_L601CPT" xfId="574" xr:uid="{00000000-0005-0000-0000-00003E020000}"/>
    <cellStyle name="args.style" xfId="575" xr:uid="{00000000-0005-0000-0000-00003F020000}"/>
    <cellStyle name="ÄÞ¸¶ [0]_      " xfId="576" xr:uid="{00000000-0005-0000-0000-000040020000}"/>
    <cellStyle name="AÞ¸¶ [0]_INQUIRY ¿?¾÷AßAø " xfId="577" xr:uid="{00000000-0005-0000-0000-000041020000}"/>
    <cellStyle name="ÄÞ¸¶ [0]_L601CPT" xfId="578" xr:uid="{00000000-0005-0000-0000-000042020000}"/>
    <cellStyle name="ÄÞ¸¶_      " xfId="579" xr:uid="{00000000-0005-0000-0000-000043020000}"/>
    <cellStyle name="AÞ¸¶_INQUIRY ¿?¾÷AßAø " xfId="580" xr:uid="{00000000-0005-0000-0000-000044020000}"/>
    <cellStyle name="ÄÞ¸¶_L601CPT" xfId="581" xr:uid="{00000000-0005-0000-0000-000045020000}"/>
    <cellStyle name="AutoFormat Options" xfId="582" xr:uid="{00000000-0005-0000-0000-000046020000}"/>
    <cellStyle name="Bad 2" xfId="583" xr:uid="{00000000-0005-0000-0000-000047020000}"/>
    <cellStyle name="Body" xfId="584" xr:uid="{00000000-0005-0000-0000-000048020000}"/>
    <cellStyle name="C?AØ_¿?¾÷CoE² " xfId="585" xr:uid="{00000000-0005-0000-0000-000049020000}"/>
    <cellStyle name="Ç¥ÁØ_      " xfId="586" xr:uid="{00000000-0005-0000-0000-00004A020000}"/>
    <cellStyle name="C￥AØ_¿μ¾÷CoE² " xfId="587" xr:uid="{00000000-0005-0000-0000-00004B020000}"/>
    <cellStyle name="Ç¥ÁØ_±¸¹Ì´ëÃ¥" xfId="588" xr:uid="{00000000-0005-0000-0000-00004C020000}"/>
    <cellStyle name="Calc Currency (0)" xfId="589" xr:uid="{00000000-0005-0000-0000-00004D020000}"/>
    <cellStyle name="Calc Currency (2)" xfId="590" xr:uid="{00000000-0005-0000-0000-00004E020000}"/>
    <cellStyle name="Calc Percent (0)" xfId="591" xr:uid="{00000000-0005-0000-0000-00004F020000}"/>
    <cellStyle name="Calc Percent (1)" xfId="592" xr:uid="{00000000-0005-0000-0000-000050020000}"/>
    <cellStyle name="Calc Percent (2)" xfId="593" xr:uid="{00000000-0005-0000-0000-000051020000}"/>
    <cellStyle name="Calc Units (0)" xfId="594" xr:uid="{00000000-0005-0000-0000-000052020000}"/>
    <cellStyle name="Calc Units (1)" xfId="595" xr:uid="{00000000-0005-0000-0000-000053020000}"/>
    <cellStyle name="Calc Units (2)" xfId="596" xr:uid="{00000000-0005-0000-0000-000054020000}"/>
    <cellStyle name="Calculation 2" xfId="597" xr:uid="{00000000-0005-0000-0000-000055020000}"/>
    <cellStyle name="category" xfId="598" xr:uid="{00000000-0005-0000-0000-000056020000}"/>
    <cellStyle name="Cerrency_Sheet2_XANGDAU" xfId="599" xr:uid="{00000000-0005-0000-0000-000057020000}"/>
    <cellStyle name="Check Cell 2" xfId="628" xr:uid="{00000000-0005-0000-0000-000074020000}"/>
    <cellStyle name="Chi phÝ kh¸c_Book1" xfId="629" xr:uid="{00000000-0005-0000-0000-000075020000}"/>
    <cellStyle name="CHUONG" xfId="630" xr:uid="{00000000-0005-0000-0000-000076020000}"/>
    <cellStyle name="ColLevel_1 2" xfId="1361" xr:uid="{00000000-0005-0000-0000-000051050000}"/>
    <cellStyle name="Column Header" xfId="600" xr:uid="{00000000-0005-0000-0000-000058020000}"/>
    <cellStyle name="Column Header 3" xfId="1286" xr:uid="{00000000-0005-0000-0000-000006050000}"/>
    <cellStyle name="Comma" xfId="1" builtinId="3"/>
    <cellStyle name="Comma [0] 2" xfId="1309" xr:uid="{00000000-0005-0000-0000-00001D050000}"/>
    <cellStyle name="Comma [0] 5" xfId="1310" xr:uid="{00000000-0005-0000-0000-00001E050000}"/>
    <cellStyle name="Comma [0] 6" xfId="1288" xr:uid="{00000000-0005-0000-0000-000008050000}"/>
    <cellStyle name="Comma [00]" xfId="601" xr:uid="{00000000-0005-0000-0000-000059020000}"/>
    <cellStyle name="Comma 10" xfId="602" xr:uid="{00000000-0005-0000-0000-00005A020000}"/>
    <cellStyle name="Comma 10 2" xfId="1349" xr:uid="{00000000-0005-0000-0000-000045050000}"/>
    <cellStyle name="Comma 10 2 2" xfId="1318" xr:uid="{00000000-0005-0000-0000-000026050000}"/>
    <cellStyle name="Comma 10 2 3" xfId="1308" xr:uid="{00000000-0005-0000-0000-00001C050000}"/>
    <cellStyle name="Comma 10 2 9" xfId="1357" xr:uid="{00000000-0005-0000-0000-00004D050000}"/>
    <cellStyle name="Comma 11" xfId="38" xr:uid="{00000000-0005-0000-0000-000026000000}"/>
    <cellStyle name="Comma 11 10 8" xfId="1354" xr:uid="{00000000-0005-0000-0000-00004A050000}"/>
    <cellStyle name="Comma 11 19 22" xfId="1340" xr:uid="{00000000-0005-0000-0000-00003C050000}"/>
    <cellStyle name="Comma 11 19 22 2" xfId="1367" xr:uid="{00000000-0005-0000-0000-000057050000}"/>
    <cellStyle name="Comma 11 2" xfId="41" xr:uid="{00000000-0005-0000-0000-000029000000}"/>
    <cellStyle name="Comma 11 2 2" xfId="1262" xr:uid="{00000000-0005-0000-0000-0000EE040000}"/>
    <cellStyle name="Comma 12" xfId="1260" xr:uid="{00000000-0005-0000-0000-0000EC040000}"/>
    <cellStyle name="Comma 12 2" xfId="1366" xr:uid="{00000000-0005-0000-0000-000056050000}"/>
    <cellStyle name="Comma 12 3" xfId="1370" xr:uid="{00000000-0005-0000-0000-00005A050000}"/>
    <cellStyle name="Comma 13" xfId="1269" xr:uid="{00000000-0005-0000-0000-0000F5040000}"/>
    <cellStyle name="Comma 14" xfId="1331" xr:uid="{00000000-0005-0000-0000-000033050000}"/>
    <cellStyle name="Comma 15" xfId="1359" xr:uid="{00000000-0005-0000-0000-00004F050000}"/>
    <cellStyle name="Comma 16" xfId="1338" xr:uid="{00000000-0005-0000-0000-00003A050000}"/>
    <cellStyle name="Comma 17" xfId="1371" xr:uid="{00000000-0005-0000-0000-00005B050000}"/>
    <cellStyle name="Comma 18" xfId="1363" xr:uid="{00000000-0005-0000-0000-000053050000}"/>
    <cellStyle name="Comma 19" xfId="31" xr:uid="{00000000-0005-0000-0000-00001F000000}"/>
    <cellStyle name="Comma 2" xfId="12" xr:uid="{00000000-0005-0000-0000-00000C000000}"/>
    <cellStyle name="Comma 2 10" xfId="24" xr:uid="{00000000-0005-0000-0000-000018000000}"/>
    <cellStyle name="Comma 2 2" xfId="40" xr:uid="{00000000-0005-0000-0000-000028000000}"/>
    <cellStyle name="Comma 2 2 10 2" xfId="1336" xr:uid="{00000000-0005-0000-0000-000038050000}"/>
    <cellStyle name="Comma 2 2 2" xfId="1282" xr:uid="{00000000-0005-0000-0000-000002050000}"/>
    <cellStyle name="Comma 2 2 3" xfId="1328" xr:uid="{00000000-0005-0000-0000-000030050000}"/>
    <cellStyle name="Comma 2 2 4" xfId="604" xr:uid="{00000000-0005-0000-0000-00005C020000}"/>
    <cellStyle name="Comma 2 3" xfId="605" xr:uid="{00000000-0005-0000-0000-00005D020000}"/>
    <cellStyle name="Comma 2 3 2" xfId="606" xr:uid="{00000000-0005-0000-0000-00005E020000}"/>
    <cellStyle name="Comma 2 3 3 2 2" xfId="1337" xr:uid="{00000000-0005-0000-0000-000039050000}"/>
    <cellStyle name="Comma 2 4" xfId="607" xr:uid="{00000000-0005-0000-0000-00005F020000}"/>
    <cellStyle name="Comma 2 5" xfId="1270" xr:uid="{00000000-0005-0000-0000-0000F6040000}"/>
    <cellStyle name="Comma 2 6" xfId="1362" xr:uid="{00000000-0005-0000-0000-000052050000}"/>
    <cellStyle name="Comma 2 7" xfId="603" xr:uid="{00000000-0005-0000-0000-00005B020000}"/>
    <cellStyle name="Comma 2 8" xfId="33" xr:uid="{00000000-0005-0000-0000-000021000000}"/>
    <cellStyle name="Comma 2 9" xfId="28" xr:uid="{00000000-0005-0000-0000-00001C000000}"/>
    <cellStyle name="Comma 2_Cau tao gia Arico T2-2009" xfId="608" xr:uid="{00000000-0005-0000-0000-000060020000}"/>
    <cellStyle name="Comma 20" xfId="26" xr:uid="{00000000-0005-0000-0000-00001A000000}"/>
    <cellStyle name="Comma 21" xfId="20" xr:uid="{00000000-0005-0000-0000-000014000000}"/>
    <cellStyle name="Comma 22" xfId="9" xr:uid="{00000000-0005-0000-0000-000009000000}"/>
    <cellStyle name="Comma 23" xfId="1393" xr:uid="{00000000-0005-0000-0000-000071050000}"/>
    <cellStyle name="Comma 29" xfId="1287" xr:uid="{00000000-0005-0000-0000-000007050000}"/>
    <cellStyle name="Comma 3" xfId="16" xr:uid="{00000000-0005-0000-0000-000010000000}"/>
    <cellStyle name="Comma 3 2" xfId="610" xr:uid="{00000000-0005-0000-0000-000062020000}"/>
    <cellStyle name="Comma 3 2 2" xfId="611" xr:uid="{00000000-0005-0000-0000-000063020000}"/>
    <cellStyle name="Comma 3 2 2 2" xfId="1321" xr:uid="{00000000-0005-0000-0000-000029050000}"/>
    <cellStyle name="Comma 3 2 3" xfId="1293" xr:uid="{00000000-0005-0000-0000-00000D050000}"/>
    <cellStyle name="Comma 3 3" xfId="612" xr:uid="{00000000-0005-0000-0000-000064020000}"/>
    <cellStyle name="Comma 3 3 2" xfId="1324" xr:uid="{00000000-0005-0000-0000-00002C050000}"/>
    <cellStyle name="Comma 3 4" xfId="1265" xr:uid="{00000000-0005-0000-0000-0000F1040000}"/>
    <cellStyle name="Comma 3 5" xfId="1291" xr:uid="{00000000-0005-0000-0000-00000B050000}"/>
    <cellStyle name="Comma 3 5 2" xfId="1312" xr:uid="{00000000-0005-0000-0000-000020050000}"/>
    <cellStyle name="Comma 3 6" xfId="1272" xr:uid="{00000000-0005-0000-0000-0000F8040000}"/>
    <cellStyle name="Comma 3 7" xfId="609" xr:uid="{00000000-0005-0000-0000-000061020000}"/>
    <cellStyle name="Comma 3 8" xfId="34" xr:uid="{00000000-0005-0000-0000-000022000000}"/>
    <cellStyle name="Comma 3 9" xfId="27" xr:uid="{00000000-0005-0000-0000-00001B000000}"/>
    <cellStyle name="Comma 3_Cau tao gia Arico T2-2009" xfId="613" xr:uid="{00000000-0005-0000-0000-000065020000}"/>
    <cellStyle name="Comma 4" xfId="18" xr:uid="{00000000-0005-0000-0000-000012000000}"/>
    <cellStyle name="Comma 4 2" xfId="1319" xr:uid="{00000000-0005-0000-0000-000027050000}"/>
    <cellStyle name="Comma 4 3" xfId="614" xr:uid="{00000000-0005-0000-0000-000066020000}"/>
    <cellStyle name="Comma 4 4" xfId="36" xr:uid="{00000000-0005-0000-0000-000024000000}"/>
    <cellStyle name="Comma 41 2" xfId="1374" xr:uid="{00000000-0005-0000-0000-00005E050000}"/>
    <cellStyle name="Comma 5" xfId="43" xr:uid="{00000000-0005-0000-0000-00002B000000}"/>
    <cellStyle name="Comma 5 2" xfId="1327" xr:uid="{00000000-0005-0000-0000-00002F050000}"/>
    <cellStyle name="Comma 5 3" xfId="615" xr:uid="{00000000-0005-0000-0000-000067020000}"/>
    <cellStyle name="Comma 6" xfId="45" xr:uid="{00000000-0005-0000-0000-00002D000000}"/>
    <cellStyle name="Comma 6 2" xfId="616" xr:uid="{00000000-0005-0000-0000-000068020000}"/>
    <cellStyle name="Comma 7" xfId="617" xr:uid="{00000000-0005-0000-0000-000069020000}"/>
    <cellStyle name="Comma 8" xfId="618" xr:uid="{00000000-0005-0000-0000-00006A020000}"/>
    <cellStyle name="Comma 8 4 2" xfId="1339" xr:uid="{00000000-0005-0000-0000-00003B050000}"/>
    <cellStyle name="Comma 9" xfId="619" xr:uid="{00000000-0005-0000-0000-00006B020000}"/>
    <cellStyle name="Comma 9 4 2" xfId="1333" xr:uid="{00000000-0005-0000-0000-000035050000}"/>
    <cellStyle name="comma zerodec" xfId="620" xr:uid="{00000000-0005-0000-0000-00006C020000}"/>
    <cellStyle name="Comma0" xfId="621" xr:uid="{00000000-0005-0000-0000-00006D020000}"/>
    <cellStyle name="Copied" xfId="622" xr:uid="{00000000-0005-0000-0000-00006E020000}"/>
    <cellStyle name="COST1" xfId="623" xr:uid="{00000000-0005-0000-0000-00006F020000}"/>
    <cellStyle name="Currency [00]" xfId="624" xr:uid="{00000000-0005-0000-0000-000070020000}"/>
    <cellStyle name="Currency 2" xfId="625" xr:uid="{00000000-0005-0000-0000-000071020000}"/>
    <cellStyle name="Currency0" xfId="626" xr:uid="{00000000-0005-0000-0000-000072020000}"/>
    <cellStyle name="Currency1" xfId="627" xr:uid="{00000000-0005-0000-0000-000073020000}"/>
    <cellStyle name="D$_x0004_P??_x0010__x000b_?_x0015_?$_x0004_?_x000f_?" xfId="631" xr:uid="{00000000-0005-0000-0000-000077020000}"/>
    <cellStyle name="D$_x0004_P?_x0010__x000b_픲_x0015_딡$_x0004_뗈_x000f_?" xfId="632" xr:uid="{00000000-0005-0000-0000-000078020000}"/>
    <cellStyle name="Date" xfId="633" xr:uid="{00000000-0005-0000-0000-000079020000}"/>
    <cellStyle name="Date Short" xfId="634" xr:uid="{00000000-0005-0000-0000-00007A020000}"/>
    <cellStyle name="Date_Book1" xfId="635" xr:uid="{00000000-0005-0000-0000-00007B020000}"/>
    <cellStyle name="Dezimal [0]_ALLE_ITEMS_280800_EV_NL" xfId="636" xr:uid="{00000000-0005-0000-0000-00007C020000}"/>
    <cellStyle name="Dezimal_AKE_100N" xfId="637" xr:uid="{00000000-0005-0000-0000-00007D020000}"/>
    <cellStyle name="DIV-Collection" xfId="1304" xr:uid="{00000000-0005-0000-0000-000018050000}"/>
    <cellStyle name="DIV-ItemNo" xfId="1295" xr:uid="{00000000-0005-0000-0000-00000F050000}"/>
    <cellStyle name="DIV-Qty" xfId="1296" xr:uid="{00000000-0005-0000-0000-000010050000}"/>
    <cellStyle name="DIV-Rate" xfId="1303" xr:uid="{00000000-0005-0000-0000-000017050000}"/>
    <cellStyle name="DIV-Unit" xfId="1297" xr:uid="{00000000-0005-0000-0000-000011050000}"/>
    <cellStyle name="Dollar (zero dec)" xfId="638" xr:uid="{00000000-0005-0000-0000-00007E020000}"/>
    <cellStyle name="Dziesi?tny [0]_Invoices2001Slovakia" xfId="639" xr:uid="{00000000-0005-0000-0000-00007F020000}"/>
    <cellStyle name="Dziesi?tny_Invoices2001Slovakia" xfId="640" xr:uid="{00000000-0005-0000-0000-000080020000}"/>
    <cellStyle name="Dziesietny [0]_Invoices2001Slovakia" xfId="641" xr:uid="{00000000-0005-0000-0000-000081020000}"/>
    <cellStyle name="Dziesiętny [0]_Invoices2001Slovakia" xfId="642" xr:uid="{00000000-0005-0000-0000-000082020000}"/>
    <cellStyle name="Dziesietny [0]_Invoices2001Slovakia_01_Nha so 1_Dien" xfId="643" xr:uid="{00000000-0005-0000-0000-000083020000}"/>
    <cellStyle name="Dziesiętny [0]_Invoices2001Slovakia_01_Nha so 1_Dien" xfId="644" xr:uid="{00000000-0005-0000-0000-000084020000}"/>
    <cellStyle name="Dziesietny [0]_Invoices2001Slovakia_10_Nha so 10_Dien1" xfId="645" xr:uid="{00000000-0005-0000-0000-000085020000}"/>
    <cellStyle name="Dziesiętny [0]_Invoices2001Slovakia_10_Nha so 10_Dien1" xfId="646" xr:uid="{00000000-0005-0000-0000-000086020000}"/>
    <cellStyle name="Dziesietny [0]_Invoices2001Slovakia_bang so sanh gia tri" xfId="647" xr:uid="{00000000-0005-0000-0000-000087020000}"/>
    <cellStyle name="Dziesiętny [0]_Invoices2001Slovakia_Bao ve ss" xfId="648" xr:uid="{00000000-0005-0000-0000-000088020000}"/>
    <cellStyle name="Dziesietny [0]_Invoices2001Slovakia_Book1" xfId="649" xr:uid="{00000000-0005-0000-0000-000089020000}"/>
    <cellStyle name="Dziesiętny [0]_Invoices2001Slovakia_Book1" xfId="650" xr:uid="{00000000-0005-0000-0000-00008A020000}"/>
    <cellStyle name="Dziesietny [0]_Invoices2001Slovakia_Book1_1" xfId="651" xr:uid="{00000000-0005-0000-0000-00008B020000}"/>
    <cellStyle name="Dziesiętny [0]_Invoices2001Slovakia_Book1_1" xfId="652" xr:uid="{00000000-0005-0000-0000-00008C020000}"/>
    <cellStyle name="Dziesietny [0]_Invoices2001Slovakia_Book1_1_Book1" xfId="653" xr:uid="{00000000-0005-0000-0000-00008D020000}"/>
    <cellStyle name="Dziesiętny [0]_Invoices2001Slovakia_Book1_1_Book1" xfId="654" xr:uid="{00000000-0005-0000-0000-00008E020000}"/>
    <cellStyle name="Dziesietny [0]_Invoices2001Slovakia_Book1_2" xfId="655" xr:uid="{00000000-0005-0000-0000-00008F020000}"/>
    <cellStyle name="Dziesiętny [0]_Invoices2001Slovakia_Book1_2" xfId="656" xr:uid="{00000000-0005-0000-0000-000090020000}"/>
    <cellStyle name="Dziesietny [0]_Invoices2001Slovakia_Dien A3" xfId="657" xr:uid="{00000000-0005-0000-0000-000091020000}"/>
    <cellStyle name="Dziesiętny [0]_Invoices2001Slovakia_Nhalamviec VTC(25-1-05)" xfId="658" xr:uid="{00000000-0005-0000-0000-000092020000}"/>
    <cellStyle name="Dziesietny [0]_Invoices2001Slovakia_TDT KHANH HOA" xfId="659" xr:uid="{00000000-0005-0000-0000-000093020000}"/>
    <cellStyle name="Dziesiętny [0]_Invoices2001Slovakia_TDT KHANH HOA" xfId="660" xr:uid="{00000000-0005-0000-0000-000094020000}"/>
    <cellStyle name="Dziesietny [0]_Invoices2001Slovakia_TDT quangngai" xfId="661" xr:uid="{00000000-0005-0000-0000-000095020000}"/>
    <cellStyle name="Dziesiętny [0]_Invoices2001Slovakia_TDT quangngai" xfId="662" xr:uid="{00000000-0005-0000-0000-000096020000}"/>
    <cellStyle name="Dziesietny [0]_Invoices2001Slovakia_TH ha tang ss" xfId="663" xr:uid="{00000000-0005-0000-0000-000097020000}"/>
    <cellStyle name="Dziesiętny [0]_Invoices2001Slovakia_TH ha tang ss" xfId="664" xr:uid="{00000000-0005-0000-0000-000098020000}"/>
    <cellStyle name="Dziesietny [0]_Invoices2001Slovakia_XD (mong+than A1) SS" xfId="665" xr:uid="{00000000-0005-0000-0000-000099020000}"/>
    <cellStyle name="Dziesiętny [0]_Invoices2001Slovakia_XD( xu ly mong )A3ss" xfId="666" xr:uid="{00000000-0005-0000-0000-00009A020000}"/>
    <cellStyle name="Dziesietny_Invoices2001Slovakia" xfId="667" xr:uid="{00000000-0005-0000-0000-00009B020000}"/>
    <cellStyle name="Dziesiętny_Invoices2001Slovakia" xfId="668" xr:uid="{00000000-0005-0000-0000-00009C020000}"/>
    <cellStyle name="Dziesietny_Invoices2001Slovakia_01_Nha so 1_Dien" xfId="669" xr:uid="{00000000-0005-0000-0000-00009D020000}"/>
    <cellStyle name="Dziesiętny_Invoices2001Slovakia_01_Nha so 1_Dien" xfId="670" xr:uid="{00000000-0005-0000-0000-00009E020000}"/>
    <cellStyle name="Dziesietny_Invoices2001Slovakia_10_Nha so 10_Dien1" xfId="671" xr:uid="{00000000-0005-0000-0000-00009F020000}"/>
    <cellStyle name="Dziesiętny_Invoices2001Slovakia_10_Nha so 10_Dien1" xfId="672" xr:uid="{00000000-0005-0000-0000-0000A0020000}"/>
    <cellStyle name="Dziesietny_Invoices2001Slovakia_bang so sanh gia tri" xfId="673" xr:uid="{00000000-0005-0000-0000-0000A1020000}"/>
    <cellStyle name="Dziesiętny_Invoices2001Slovakia_Bao ve ss" xfId="674" xr:uid="{00000000-0005-0000-0000-0000A2020000}"/>
    <cellStyle name="Dziesietny_Invoices2001Slovakia_Book1" xfId="675" xr:uid="{00000000-0005-0000-0000-0000A3020000}"/>
    <cellStyle name="Dziesiętny_Invoices2001Slovakia_Book1" xfId="676" xr:uid="{00000000-0005-0000-0000-0000A4020000}"/>
    <cellStyle name="Dziesietny_Invoices2001Slovakia_Book1_1" xfId="677" xr:uid="{00000000-0005-0000-0000-0000A5020000}"/>
    <cellStyle name="Dziesiętny_Invoices2001Slovakia_Book1_1" xfId="678" xr:uid="{00000000-0005-0000-0000-0000A6020000}"/>
    <cellStyle name="Dziesietny_Invoices2001Slovakia_Book1_1_Book1" xfId="679" xr:uid="{00000000-0005-0000-0000-0000A7020000}"/>
    <cellStyle name="Dziesiętny_Invoices2001Slovakia_Book1_1_Book1" xfId="680" xr:uid="{00000000-0005-0000-0000-0000A8020000}"/>
    <cellStyle name="Dziesietny_Invoices2001Slovakia_Book1_2" xfId="681" xr:uid="{00000000-0005-0000-0000-0000A9020000}"/>
    <cellStyle name="Dziesiętny_Invoices2001Slovakia_Book1_2" xfId="682" xr:uid="{00000000-0005-0000-0000-0000AA020000}"/>
    <cellStyle name="Dziesietny_Invoices2001Slovakia_Dien A3" xfId="683" xr:uid="{00000000-0005-0000-0000-0000AB020000}"/>
    <cellStyle name="Dziesiętny_Invoices2001Slovakia_Nhalamviec VTC(25-1-05)" xfId="684" xr:uid="{00000000-0005-0000-0000-0000AC020000}"/>
    <cellStyle name="Dziesietny_Invoices2001Slovakia_TDT KHANH HOA" xfId="685" xr:uid="{00000000-0005-0000-0000-0000AD020000}"/>
    <cellStyle name="Dziesiętny_Invoices2001Slovakia_TDT KHANH HOA" xfId="686" xr:uid="{00000000-0005-0000-0000-0000AE020000}"/>
    <cellStyle name="Dziesietny_Invoices2001Slovakia_TDT quangngai" xfId="687" xr:uid="{00000000-0005-0000-0000-0000AF020000}"/>
    <cellStyle name="Dziesiętny_Invoices2001Slovakia_TDT quangngai" xfId="688" xr:uid="{00000000-0005-0000-0000-0000B0020000}"/>
    <cellStyle name="Dziesietny_Invoices2001Slovakia_TH ha tang ss" xfId="689" xr:uid="{00000000-0005-0000-0000-0000B1020000}"/>
    <cellStyle name="Dziesiętny_Invoices2001Slovakia_TH ha tang ss" xfId="690" xr:uid="{00000000-0005-0000-0000-0000B2020000}"/>
    <cellStyle name="Dziesietny_Invoices2001Slovakia_XD (mong+than A1) SS" xfId="691" xr:uid="{00000000-0005-0000-0000-0000B3020000}"/>
    <cellStyle name="Dziesiętny_Invoices2001Slovakia_XD( xu ly mong )A3ss" xfId="692" xr:uid="{00000000-0005-0000-0000-0000B4020000}"/>
    <cellStyle name="Enter Currency (0)" xfId="693" xr:uid="{00000000-0005-0000-0000-0000B5020000}"/>
    <cellStyle name="Enter Currency (2)" xfId="694" xr:uid="{00000000-0005-0000-0000-0000B6020000}"/>
    <cellStyle name="Enter Units (0)" xfId="695" xr:uid="{00000000-0005-0000-0000-0000B7020000}"/>
    <cellStyle name="Enter Units (1)" xfId="696" xr:uid="{00000000-0005-0000-0000-0000B8020000}"/>
    <cellStyle name="Enter Units (2)" xfId="697" xr:uid="{00000000-0005-0000-0000-0000B9020000}"/>
    <cellStyle name="Entered" xfId="698" xr:uid="{00000000-0005-0000-0000-0000BA020000}"/>
    <cellStyle name="Euro" xfId="699" xr:uid="{00000000-0005-0000-0000-0000BB020000}"/>
    <cellStyle name="Explanatory Text 2" xfId="700" xr:uid="{00000000-0005-0000-0000-0000BC020000}"/>
    <cellStyle name="Fixed" xfId="701" xr:uid="{00000000-0005-0000-0000-0000BD020000}"/>
    <cellStyle name="Good 2" xfId="702" xr:uid="{00000000-0005-0000-0000-0000BE020000}"/>
    <cellStyle name="Grey" xfId="703" xr:uid="{00000000-0005-0000-0000-0000BF020000}"/>
    <cellStyle name="Group" xfId="704" xr:uid="{00000000-0005-0000-0000-0000C0020000}"/>
    <cellStyle name="ha" xfId="705" xr:uid="{00000000-0005-0000-0000-0000C1020000}"/>
    <cellStyle name="HEADER" xfId="706" xr:uid="{00000000-0005-0000-0000-0000C2020000}"/>
    <cellStyle name="Header1" xfId="707" xr:uid="{00000000-0005-0000-0000-0000C3020000}"/>
    <cellStyle name="Header2" xfId="708" xr:uid="{00000000-0005-0000-0000-0000C4020000}"/>
    <cellStyle name="Heading 1 2" xfId="709" xr:uid="{00000000-0005-0000-0000-0000C5020000}"/>
    <cellStyle name="Heading 2 2" xfId="710" xr:uid="{00000000-0005-0000-0000-0000C6020000}"/>
    <cellStyle name="Heading 3 2" xfId="711" xr:uid="{00000000-0005-0000-0000-0000C7020000}"/>
    <cellStyle name="Heading 4 2" xfId="712" xr:uid="{00000000-0005-0000-0000-0000C8020000}"/>
    <cellStyle name="Heading1" xfId="713" xr:uid="{00000000-0005-0000-0000-0000C9020000}"/>
    <cellStyle name="Heading2" xfId="714" xr:uid="{00000000-0005-0000-0000-0000CA020000}"/>
    <cellStyle name="HUY" xfId="715" xr:uid="{00000000-0005-0000-0000-0000CB020000}"/>
    <cellStyle name="Hyperlink 2" xfId="5" xr:uid="{00000000-0005-0000-0000-000005000000}"/>
    <cellStyle name="Hyperlink 3" xfId="1344" xr:uid="{00000000-0005-0000-0000-000040050000}"/>
    <cellStyle name="i phÝ kh¸c_B¶ng 2" xfId="716" xr:uid="{00000000-0005-0000-0000-0000CC020000}"/>
    <cellStyle name="I.3" xfId="717" xr:uid="{00000000-0005-0000-0000-0000CD020000}"/>
    <cellStyle name="i·0" xfId="718" xr:uid="{00000000-0005-0000-0000-0000CE020000}"/>
    <cellStyle name="ï-¾È»ê_BiÓu TB" xfId="719" xr:uid="{00000000-0005-0000-0000-0000CF020000}"/>
    <cellStyle name="Input [yellow]" xfId="720" xr:uid="{00000000-0005-0000-0000-0000D0020000}"/>
    <cellStyle name="Input 2" xfId="721" xr:uid="{00000000-0005-0000-0000-0000D1020000}"/>
    <cellStyle name="Input 3" xfId="722" xr:uid="{00000000-0005-0000-0000-0000D2020000}"/>
    <cellStyle name="Input Cells" xfId="723" xr:uid="{00000000-0005-0000-0000-0000D3020000}"/>
    <cellStyle name="kh¸c_Bang Chi tieu" xfId="724" xr:uid="{00000000-0005-0000-0000-0000D4020000}"/>
    <cellStyle name="khanh" xfId="725" xr:uid="{00000000-0005-0000-0000-0000D5020000}"/>
    <cellStyle name="Ledger 17 x 11 in" xfId="726" xr:uid="{00000000-0005-0000-0000-0000D6020000}"/>
    <cellStyle name="linh" xfId="734" xr:uid="{00000000-0005-0000-0000-0000DE020000}"/>
    <cellStyle name="Link Currency (0)" xfId="727" xr:uid="{00000000-0005-0000-0000-0000D7020000}"/>
    <cellStyle name="Link Currency (2)" xfId="728" xr:uid="{00000000-0005-0000-0000-0000D8020000}"/>
    <cellStyle name="Link Units (0)" xfId="729" xr:uid="{00000000-0005-0000-0000-0000D9020000}"/>
    <cellStyle name="Link Units (1)" xfId="730" xr:uid="{00000000-0005-0000-0000-0000DA020000}"/>
    <cellStyle name="Link Units (2)" xfId="731" xr:uid="{00000000-0005-0000-0000-0000DB020000}"/>
    <cellStyle name="Linked Cell 2" xfId="732" xr:uid="{00000000-0005-0000-0000-0000DC020000}"/>
    <cellStyle name="Linked Cells" xfId="733" xr:uid="{00000000-0005-0000-0000-0000DD020000}"/>
    <cellStyle name="Millares [0]_Well Timing" xfId="735" xr:uid="{00000000-0005-0000-0000-0000DF020000}"/>
    <cellStyle name="Millares_Well Timing" xfId="736" xr:uid="{00000000-0005-0000-0000-0000E0020000}"/>
    <cellStyle name="Milliers [0]_!!!GO" xfId="737" xr:uid="{00000000-0005-0000-0000-0000E1020000}"/>
    <cellStyle name="Milliers_!!!GO" xfId="738" xr:uid="{00000000-0005-0000-0000-0000E2020000}"/>
    <cellStyle name="Model" xfId="739" xr:uid="{00000000-0005-0000-0000-0000E3020000}"/>
    <cellStyle name="Mon?aire [0]_!!!GO" xfId="740" xr:uid="{00000000-0005-0000-0000-0000E4020000}"/>
    <cellStyle name="Mon?aire_!!!GO" xfId="741" xr:uid="{00000000-0005-0000-0000-0000E5020000}"/>
    <cellStyle name="Moneda [0]_Well Timing" xfId="742" xr:uid="{00000000-0005-0000-0000-0000E6020000}"/>
    <cellStyle name="Moneda_Well Timing" xfId="743" xr:uid="{00000000-0005-0000-0000-0000E7020000}"/>
    <cellStyle name="Monétaire [0]_TARIFFS DB" xfId="744" xr:uid="{00000000-0005-0000-0000-0000E8020000}"/>
    <cellStyle name="Monétaire_TARIFFS DB" xfId="745" xr:uid="{00000000-0005-0000-0000-0000E9020000}"/>
    <cellStyle name="n" xfId="746" xr:uid="{00000000-0005-0000-0000-0000EA020000}"/>
    <cellStyle name="n_CROWN WELL 冠威報價單20071015" xfId="747" xr:uid="{00000000-0005-0000-0000-0000EB020000}"/>
    <cellStyle name="Neutral 2" xfId="748" xr:uid="{00000000-0005-0000-0000-0000EC020000}"/>
    <cellStyle name="New Times Roman" xfId="749" xr:uid="{00000000-0005-0000-0000-0000ED020000}"/>
    <cellStyle name="no dec" xfId="750" xr:uid="{00000000-0005-0000-0000-0000EE020000}"/>
    <cellStyle name="Non défini" xfId="751" xr:uid="{00000000-0005-0000-0000-0000EF020000}"/>
    <cellStyle name="ÑONVÒ" xfId="752" xr:uid="{00000000-0005-0000-0000-0000F0020000}"/>
    <cellStyle name="Normal" xfId="0" builtinId="0"/>
    <cellStyle name="Normal - Style1" xfId="753" xr:uid="{00000000-0005-0000-0000-0000F1020000}"/>
    <cellStyle name="Normal - Style2" xfId="754" xr:uid="{00000000-0005-0000-0000-0000F2020000}"/>
    <cellStyle name="Normal - Style3" xfId="755" xr:uid="{00000000-0005-0000-0000-0000F3020000}"/>
    <cellStyle name="Normal - Style4" xfId="756" xr:uid="{00000000-0005-0000-0000-0000F4020000}"/>
    <cellStyle name="Normal - Style5" xfId="757" xr:uid="{00000000-0005-0000-0000-0000F5020000}"/>
    <cellStyle name="Normal - Style6" xfId="758" xr:uid="{00000000-0005-0000-0000-0000F6020000}"/>
    <cellStyle name="Normal - Style7" xfId="759" xr:uid="{00000000-0005-0000-0000-0000F7020000}"/>
    <cellStyle name="Normal - Style8" xfId="760" xr:uid="{00000000-0005-0000-0000-0000F8020000}"/>
    <cellStyle name="Normal - 유형1" xfId="761" xr:uid="{00000000-0005-0000-0000-0000F9020000}"/>
    <cellStyle name="Normal 10" xfId="762" xr:uid="{00000000-0005-0000-0000-0000FA020000}"/>
    <cellStyle name="Normal 10 2" xfId="1326" xr:uid="{00000000-0005-0000-0000-00002E050000}"/>
    <cellStyle name="Normal 10 2 2 2" xfId="1350" xr:uid="{00000000-0005-0000-0000-000046050000}"/>
    <cellStyle name="Normal 11" xfId="1266" xr:uid="{00000000-0005-0000-0000-0000F2040000}"/>
    <cellStyle name="Normal 11 2" xfId="1306" xr:uid="{00000000-0005-0000-0000-00001A050000}"/>
    <cellStyle name="Normal 11 3 2" xfId="1368" xr:uid="{00000000-0005-0000-0000-000058050000}"/>
    <cellStyle name="Normal 12" xfId="763" xr:uid="{00000000-0005-0000-0000-0000FB020000}"/>
    <cellStyle name="Normal 13" xfId="764" xr:uid="{00000000-0005-0000-0000-0000FC020000}"/>
    <cellStyle name="Normal 14" xfId="765" xr:uid="{00000000-0005-0000-0000-0000FD020000}"/>
    <cellStyle name="Normal 15" xfId="766" xr:uid="{00000000-0005-0000-0000-0000FE020000}"/>
    <cellStyle name="Normal 16" xfId="1268" xr:uid="{00000000-0005-0000-0000-0000F4040000}"/>
    <cellStyle name="Normal 17" xfId="1330" xr:uid="{00000000-0005-0000-0000-000032050000}"/>
    <cellStyle name="Normal 18" xfId="1332" xr:uid="{00000000-0005-0000-0000-000034050000}"/>
    <cellStyle name="Normal 19" xfId="1334" xr:uid="{00000000-0005-0000-0000-000036050000}"/>
    <cellStyle name="Normal 2" xfId="6" xr:uid="{00000000-0005-0000-0000-000006000000}"/>
    <cellStyle name="Normal 2 10 10" xfId="1345" xr:uid="{00000000-0005-0000-0000-000041050000}"/>
    <cellStyle name="Normal 2 2" xfId="7" xr:uid="{00000000-0005-0000-0000-000007000000}"/>
    <cellStyle name="Normal 2 3" xfId="768" xr:uid="{00000000-0005-0000-0000-000000030000}"/>
    <cellStyle name="Normal 2 3 2" xfId="1320" xr:uid="{00000000-0005-0000-0000-000028050000}"/>
    <cellStyle name="Normal 2 3 3" xfId="1292" xr:uid="{00000000-0005-0000-0000-00000C050000}"/>
    <cellStyle name="Normal 2 39 2" xfId="1375" xr:uid="{00000000-0005-0000-0000-00005F050000}"/>
    <cellStyle name="Normal 2 4" xfId="1323" xr:uid="{00000000-0005-0000-0000-00002B050000}"/>
    <cellStyle name="Normal 2 5" xfId="1353" xr:uid="{00000000-0005-0000-0000-000049050000}"/>
    <cellStyle name="Normal 2 6" xfId="767" xr:uid="{00000000-0005-0000-0000-0000FF020000}"/>
    <cellStyle name="Normal 20" xfId="769" xr:uid="{00000000-0005-0000-0000-000001030000}"/>
    <cellStyle name="Normal 21" xfId="770" xr:uid="{00000000-0005-0000-0000-000002030000}"/>
    <cellStyle name="Normal 22" xfId="1348" xr:uid="{00000000-0005-0000-0000-000044050000}"/>
    <cellStyle name="Normal 23" xfId="1347" xr:uid="{00000000-0005-0000-0000-000043050000}"/>
    <cellStyle name="Normal 24" xfId="1360" xr:uid="{00000000-0005-0000-0000-000050050000}"/>
    <cellStyle name="Normal 24 2" xfId="1373" xr:uid="{00000000-0005-0000-0000-00005D050000}"/>
    <cellStyle name="Normal 25" xfId="1356" xr:uid="{00000000-0005-0000-0000-00004C050000}"/>
    <cellStyle name="Normal 26" xfId="1377" xr:uid="{00000000-0005-0000-0000-000061050000}"/>
    <cellStyle name="Normal 27" xfId="1384" xr:uid="{00000000-0005-0000-0000-000068050000}"/>
    <cellStyle name="Normal 28" xfId="1379" xr:uid="{00000000-0005-0000-0000-000063050000}"/>
    <cellStyle name="Normal 29" xfId="1383" xr:uid="{00000000-0005-0000-0000-000067050000}"/>
    <cellStyle name="Normal 29 7" xfId="1358" xr:uid="{00000000-0005-0000-0000-00004E050000}"/>
    <cellStyle name="Normal 3" xfId="8" xr:uid="{00000000-0005-0000-0000-000008000000}"/>
    <cellStyle name="Normal 3 2" xfId="37" xr:uid="{00000000-0005-0000-0000-000025000000}"/>
    <cellStyle name="Normal 3 3" xfId="771" xr:uid="{00000000-0005-0000-0000-000003030000}"/>
    <cellStyle name="Normal 3 4" xfId="772" xr:uid="{00000000-0005-0000-0000-000004030000}"/>
    <cellStyle name="Normal 3 5" xfId="1271" xr:uid="{00000000-0005-0000-0000-0000F7040000}"/>
    <cellStyle name="Normal 3 6" xfId="30" xr:uid="{00000000-0005-0000-0000-00001E000000}"/>
    <cellStyle name="Normal 30" xfId="1380" xr:uid="{00000000-0005-0000-0000-000064050000}"/>
    <cellStyle name="Normal 31" xfId="1382" xr:uid="{00000000-0005-0000-0000-000066050000}"/>
    <cellStyle name="Normal 32" xfId="1378" xr:uid="{00000000-0005-0000-0000-000062050000}"/>
    <cellStyle name="Normal 33" xfId="1381" xr:uid="{00000000-0005-0000-0000-000065050000}"/>
    <cellStyle name="Normal 34" xfId="46" xr:uid="{00000000-0005-0000-0000-00002E000000}"/>
    <cellStyle name="Normal 35" xfId="29" xr:uid="{00000000-0005-0000-0000-00001D000000}"/>
    <cellStyle name="Normal 36" xfId="4" xr:uid="{00000000-0005-0000-0000-000004000000}"/>
    <cellStyle name="Normal 37" xfId="1394" xr:uid="{00000000-0005-0000-0000-000072050000}"/>
    <cellStyle name="Normal 38" xfId="1284" xr:uid="{00000000-0005-0000-0000-000004050000}"/>
    <cellStyle name="Normal 38 2" xfId="1314" xr:uid="{00000000-0005-0000-0000-000022050000}"/>
    <cellStyle name="Normal 4" xfId="11" xr:uid="{00000000-0005-0000-0000-00000B000000}"/>
    <cellStyle name="Normal 4 2" xfId="774" xr:uid="{00000000-0005-0000-0000-000006030000}"/>
    <cellStyle name="Normal 4 2 2" xfId="1322" xr:uid="{00000000-0005-0000-0000-00002A050000}"/>
    <cellStyle name="Normal 4 2 2 2" xfId="1355" xr:uid="{00000000-0005-0000-0000-00004B050000}"/>
    <cellStyle name="Normal 4 2 3" xfId="1305" xr:uid="{00000000-0005-0000-0000-000019050000}"/>
    <cellStyle name="Normal 4 3" xfId="1263" xr:uid="{00000000-0005-0000-0000-0000EF040000}"/>
    <cellStyle name="Normal 4 4" xfId="1275" xr:uid="{00000000-0005-0000-0000-0000FB040000}"/>
    <cellStyle name="Normal 4 5" xfId="773" xr:uid="{00000000-0005-0000-0000-000005030000}"/>
    <cellStyle name="Normal 4 6" xfId="25" xr:uid="{00000000-0005-0000-0000-000019000000}"/>
    <cellStyle name="Normal 49" xfId="1313" xr:uid="{00000000-0005-0000-0000-000021050000}"/>
    <cellStyle name="Normal 5" xfId="14" xr:uid="{00000000-0005-0000-0000-00000E000000}"/>
    <cellStyle name="Normal 5 2" xfId="776" xr:uid="{00000000-0005-0000-0000-000008030000}"/>
    <cellStyle name="Normal 5 2 2 2 2" xfId="1346" xr:uid="{00000000-0005-0000-0000-000042050000}"/>
    <cellStyle name="Normal 5 3" xfId="1279" xr:uid="{00000000-0005-0000-0000-0000FF040000}"/>
    <cellStyle name="Normal 5 4" xfId="775" xr:uid="{00000000-0005-0000-0000-000007030000}"/>
    <cellStyle name="Normal 5 5" xfId="22" xr:uid="{00000000-0005-0000-0000-000016000000}"/>
    <cellStyle name="Normal 6" xfId="17" xr:uid="{00000000-0005-0000-0000-000011000000}"/>
    <cellStyle name="Normal 6 2" xfId="1317" xr:uid="{00000000-0005-0000-0000-000025050000}"/>
    <cellStyle name="Normal 6 3" xfId="777" xr:uid="{00000000-0005-0000-0000-000009030000}"/>
    <cellStyle name="Normal 6 4" xfId="35" xr:uid="{00000000-0005-0000-0000-000023000000}"/>
    <cellStyle name="Normal 7" xfId="42" xr:uid="{00000000-0005-0000-0000-00002A000000}"/>
    <cellStyle name="Normal 7 2" xfId="1289" xr:uid="{00000000-0005-0000-0000-000009050000}"/>
    <cellStyle name="Normal 7 3" xfId="778" xr:uid="{00000000-0005-0000-0000-00000A030000}"/>
    <cellStyle name="Normal 8" xfId="44" xr:uid="{00000000-0005-0000-0000-00002C000000}"/>
    <cellStyle name="Normal 8 2" xfId="1283" xr:uid="{00000000-0005-0000-0000-000003050000}"/>
    <cellStyle name="Normal 8 3" xfId="779" xr:uid="{00000000-0005-0000-0000-00000B030000}"/>
    <cellStyle name="Normal 9" xfId="3" xr:uid="{00000000-0005-0000-0000-000003000000}"/>
    <cellStyle name="Normal 9 2" xfId="1259" xr:uid="{00000000-0005-0000-0000-0000EB040000}"/>
    <cellStyle name="Normal 9 3" xfId="1316" xr:uid="{00000000-0005-0000-0000-000024050000}"/>
    <cellStyle name="Normal EN" xfId="1278" xr:uid="{00000000-0005-0000-0000-0000FE040000}"/>
    <cellStyle name="Normal VN" xfId="1276" xr:uid="{00000000-0005-0000-0000-0000FC040000}"/>
    <cellStyle name="Normal1" xfId="780" xr:uid="{00000000-0005-0000-0000-00000C030000}"/>
    <cellStyle name="Normalny_Cennik obowiazuje od 06-08-2001 r (1)" xfId="781" xr:uid="{00000000-0005-0000-0000-00000D030000}"/>
    <cellStyle name="Note 2" xfId="782" xr:uid="{00000000-0005-0000-0000-00000E030000}"/>
    <cellStyle name="NWM" xfId="783" xr:uid="{00000000-0005-0000-0000-00000F030000}"/>
    <cellStyle name="omma [0]_Mktg Prog" xfId="784" xr:uid="{00000000-0005-0000-0000-000010030000}"/>
    <cellStyle name="ormal_Sheet1_1" xfId="785" xr:uid="{00000000-0005-0000-0000-000011030000}"/>
    <cellStyle name="Output 2" xfId="786" xr:uid="{00000000-0005-0000-0000-000012030000}"/>
    <cellStyle name="per.style" xfId="787" xr:uid="{00000000-0005-0000-0000-000013030000}"/>
    <cellStyle name="Percent" xfId="2" builtinId="5"/>
    <cellStyle name="Percent [0]" xfId="788" xr:uid="{00000000-0005-0000-0000-000014030000}"/>
    <cellStyle name="Percent [00]" xfId="789" xr:uid="{00000000-0005-0000-0000-000015030000}"/>
    <cellStyle name="Percent [2]" xfId="790" xr:uid="{00000000-0005-0000-0000-000016030000}"/>
    <cellStyle name="Percent 10" xfId="1280" xr:uid="{00000000-0005-0000-0000-000000050000}"/>
    <cellStyle name="Percent 11" xfId="1335" xr:uid="{00000000-0005-0000-0000-000037050000}"/>
    <cellStyle name="Percent 12" xfId="1351" xr:uid="{00000000-0005-0000-0000-000047050000}"/>
    <cellStyle name="Percent 13" xfId="1352" xr:uid="{00000000-0005-0000-0000-000048050000}"/>
    <cellStyle name="Percent 14" xfId="1342" xr:uid="{00000000-0005-0000-0000-00003E050000}"/>
    <cellStyle name="Percent 15" xfId="1341" xr:uid="{00000000-0005-0000-0000-00003D050000}"/>
    <cellStyle name="Percent 16" xfId="1372" xr:uid="{00000000-0005-0000-0000-00005C050000}"/>
    <cellStyle name="Percent 17" xfId="1385" xr:uid="{00000000-0005-0000-0000-000069050000}"/>
    <cellStyle name="Percent 18" xfId="1386" xr:uid="{00000000-0005-0000-0000-00006A050000}"/>
    <cellStyle name="Percent 19" xfId="1387" xr:uid="{00000000-0005-0000-0000-00006B050000}"/>
    <cellStyle name="Percent 2" xfId="13" xr:uid="{00000000-0005-0000-0000-00000D000000}"/>
    <cellStyle name="Percent 2 2" xfId="39" xr:uid="{00000000-0005-0000-0000-000027000000}"/>
    <cellStyle name="Percent 2 2 2" xfId="791" xr:uid="{00000000-0005-0000-0000-000017030000}"/>
    <cellStyle name="Percent 2 3" xfId="1376" xr:uid="{00000000-0005-0000-0000-000060050000}"/>
    <cellStyle name="Percent 2 3 2" xfId="1307" xr:uid="{00000000-0005-0000-0000-00001B050000}"/>
    <cellStyle name="Percent 2 4" xfId="1290" xr:uid="{00000000-0005-0000-0000-00000A050000}"/>
    <cellStyle name="Percent 2 4 2" xfId="1311" xr:uid="{00000000-0005-0000-0000-00001F050000}"/>
    <cellStyle name="Percent 2 5" xfId="21" xr:uid="{00000000-0005-0000-0000-000015000000}"/>
    <cellStyle name="Percent 20" xfId="1388" xr:uid="{00000000-0005-0000-0000-00006C050000}"/>
    <cellStyle name="Percent 21" xfId="1389" xr:uid="{00000000-0005-0000-0000-00006D050000}"/>
    <cellStyle name="Percent 22" xfId="1390" xr:uid="{00000000-0005-0000-0000-00006E050000}"/>
    <cellStyle name="Percent 23" xfId="1391" xr:uid="{00000000-0005-0000-0000-00006F050000}"/>
    <cellStyle name="Percent 24" xfId="1392" xr:uid="{00000000-0005-0000-0000-000070050000}"/>
    <cellStyle name="Percent 25" xfId="1267" xr:uid="{00000000-0005-0000-0000-0000F3040000}"/>
    <cellStyle name="Percent 26" xfId="32" xr:uid="{00000000-0005-0000-0000-000020000000}"/>
    <cellStyle name="Percent 27" xfId="10" xr:uid="{00000000-0005-0000-0000-00000A000000}"/>
    <cellStyle name="Percent 3" xfId="15" xr:uid="{00000000-0005-0000-0000-00000F000000}"/>
    <cellStyle name="Percent 3 2" xfId="1315" xr:uid="{00000000-0005-0000-0000-000023050000}"/>
    <cellStyle name="Percent 3 3" xfId="1365" xr:uid="{00000000-0005-0000-0000-000055050000}"/>
    <cellStyle name="Percent 3 4" xfId="792" xr:uid="{00000000-0005-0000-0000-000018030000}"/>
    <cellStyle name="Percent 3 5" xfId="23" xr:uid="{00000000-0005-0000-0000-000017000000}"/>
    <cellStyle name="Percent 4" xfId="19" xr:uid="{00000000-0005-0000-0000-000013000000}"/>
    <cellStyle name="Percent 4 2" xfId="794" xr:uid="{00000000-0005-0000-0000-00001A030000}"/>
    <cellStyle name="Percent 4 3" xfId="1325" xr:uid="{00000000-0005-0000-0000-00002D050000}"/>
    <cellStyle name="Percent 4 4" xfId="793" xr:uid="{00000000-0005-0000-0000-000019030000}"/>
    <cellStyle name="Percent 5" xfId="795" xr:uid="{00000000-0005-0000-0000-00001B030000}"/>
    <cellStyle name="Percent 5 2" xfId="1329" xr:uid="{00000000-0005-0000-0000-000031050000}"/>
    <cellStyle name="Percent 5 3 2 2" xfId="1343" xr:uid="{00000000-0005-0000-0000-00003F050000}"/>
    <cellStyle name="Percent 6" xfId="796" xr:uid="{00000000-0005-0000-0000-00001C030000}"/>
    <cellStyle name="Percent 7" xfId="797" xr:uid="{00000000-0005-0000-0000-00001D030000}"/>
    <cellStyle name="Percent 8" xfId="1261" xr:uid="{00000000-0005-0000-0000-0000ED040000}"/>
    <cellStyle name="Percent 9" xfId="1264" xr:uid="{00000000-0005-0000-0000-0000F0040000}"/>
    <cellStyle name="PERCENTAGE" xfId="798" xr:uid="{00000000-0005-0000-0000-00001E030000}"/>
    <cellStyle name="PrePop Currency (0)" xfId="799" xr:uid="{00000000-0005-0000-0000-00001F030000}"/>
    <cellStyle name="PrePop Currency (2)" xfId="800" xr:uid="{00000000-0005-0000-0000-000020030000}"/>
    <cellStyle name="PrePop Units (0)" xfId="801" xr:uid="{00000000-0005-0000-0000-000021030000}"/>
    <cellStyle name="PrePop Units (1)" xfId="802" xr:uid="{00000000-0005-0000-0000-000022030000}"/>
    <cellStyle name="PrePop Units (2)" xfId="803" xr:uid="{00000000-0005-0000-0000-000023030000}"/>
    <cellStyle name="pricing" xfId="804" xr:uid="{00000000-0005-0000-0000-000024030000}"/>
    <cellStyle name="PSChar" xfId="805" xr:uid="{00000000-0005-0000-0000-000025030000}"/>
    <cellStyle name="RevList" xfId="806" xr:uid="{00000000-0005-0000-0000-000026030000}"/>
    <cellStyle name="RowLevel_1 2" xfId="1369" xr:uid="{00000000-0005-0000-0000-000059050000}"/>
    <cellStyle name="S—_x0008_" xfId="807" xr:uid="{00000000-0005-0000-0000-000027030000}"/>
    <cellStyle name="s1" xfId="808" xr:uid="{00000000-0005-0000-0000-000028030000}"/>
    <cellStyle name="SAPBEXaggData" xfId="809" xr:uid="{00000000-0005-0000-0000-000029030000}"/>
    <cellStyle name="SAPBEXaggDataEmph" xfId="810" xr:uid="{00000000-0005-0000-0000-00002A030000}"/>
    <cellStyle name="SAPBEXaggItem" xfId="811" xr:uid="{00000000-0005-0000-0000-00002B030000}"/>
    <cellStyle name="SAPBEXchaText" xfId="812" xr:uid="{00000000-0005-0000-0000-00002C030000}"/>
    <cellStyle name="SAPBEXexcBad7" xfId="813" xr:uid="{00000000-0005-0000-0000-00002D030000}"/>
    <cellStyle name="SAPBEXexcBad8" xfId="814" xr:uid="{00000000-0005-0000-0000-00002E030000}"/>
    <cellStyle name="SAPBEXexcBad9" xfId="815" xr:uid="{00000000-0005-0000-0000-00002F030000}"/>
    <cellStyle name="SAPBEXexcCritical4" xfId="816" xr:uid="{00000000-0005-0000-0000-000030030000}"/>
    <cellStyle name="SAPBEXexcCritical5" xfId="817" xr:uid="{00000000-0005-0000-0000-000031030000}"/>
    <cellStyle name="SAPBEXexcCritical6" xfId="818" xr:uid="{00000000-0005-0000-0000-000032030000}"/>
    <cellStyle name="SAPBEXexcGood1" xfId="819" xr:uid="{00000000-0005-0000-0000-000033030000}"/>
    <cellStyle name="SAPBEXexcGood2" xfId="820" xr:uid="{00000000-0005-0000-0000-000034030000}"/>
    <cellStyle name="SAPBEXexcGood3" xfId="821" xr:uid="{00000000-0005-0000-0000-000035030000}"/>
    <cellStyle name="SAPBEXfilterDrill" xfId="822" xr:uid="{00000000-0005-0000-0000-000036030000}"/>
    <cellStyle name="SAPBEXfilterItem" xfId="823" xr:uid="{00000000-0005-0000-0000-000037030000}"/>
    <cellStyle name="SAPBEXfilterText" xfId="824" xr:uid="{00000000-0005-0000-0000-000038030000}"/>
    <cellStyle name="SAPBEXformats" xfId="825" xr:uid="{00000000-0005-0000-0000-000039030000}"/>
    <cellStyle name="SAPBEXheaderItem" xfId="826" xr:uid="{00000000-0005-0000-0000-00003A030000}"/>
    <cellStyle name="SAPBEXheaderText" xfId="827" xr:uid="{00000000-0005-0000-0000-00003B030000}"/>
    <cellStyle name="SAPBEXresData" xfId="828" xr:uid="{00000000-0005-0000-0000-00003C030000}"/>
    <cellStyle name="SAPBEXresDataEmph" xfId="829" xr:uid="{00000000-0005-0000-0000-00003D030000}"/>
    <cellStyle name="SAPBEXresItem" xfId="830" xr:uid="{00000000-0005-0000-0000-00003E030000}"/>
    <cellStyle name="SAPBEXstdData" xfId="831" xr:uid="{00000000-0005-0000-0000-00003F030000}"/>
    <cellStyle name="SAPBEXstdDataEmph" xfId="832" xr:uid="{00000000-0005-0000-0000-000040030000}"/>
    <cellStyle name="SAPBEXstdItem" xfId="833" xr:uid="{00000000-0005-0000-0000-000041030000}"/>
    <cellStyle name="SAPBEXtitle" xfId="834" xr:uid="{00000000-0005-0000-0000-000042030000}"/>
    <cellStyle name="SAPBEXundefined" xfId="835" xr:uid="{00000000-0005-0000-0000-000043030000}"/>
    <cellStyle name="Siêu nối kết_ÿÿÿÿÿ" xfId="836" xr:uid="{00000000-0005-0000-0000-000044030000}"/>
    <cellStyle name="Standard_AAbgleich" xfId="837" xr:uid="{00000000-0005-0000-0000-000045030000}"/>
    <cellStyle name="Style 1" xfId="838" xr:uid="{00000000-0005-0000-0000-000046030000}"/>
    <cellStyle name="Style 1 2" xfId="1273" xr:uid="{00000000-0005-0000-0000-0000F9040000}"/>
    <cellStyle name="Style 10" xfId="839" xr:uid="{00000000-0005-0000-0000-000047030000}"/>
    <cellStyle name="Style 11" xfId="840" xr:uid="{00000000-0005-0000-0000-000048030000}"/>
    <cellStyle name="Style 12" xfId="841" xr:uid="{00000000-0005-0000-0000-000049030000}"/>
    <cellStyle name="Style 13" xfId="842" xr:uid="{00000000-0005-0000-0000-00004A030000}"/>
    <cellStyle name="Style 14" xfId="843" xr:uid="{00000000-0005-0000-0000-00004B030000}"/>
    <cellStyle name="Style 15" xfId="844" xr:uid="{00000000-0005-0000-0000-00004C030000}"/>
    <cellStyle name="Style 16" xfId="845" xr:uid="{00000000-0005-0000-0000-00004D030000}"/>
    <cellStyle name="Style 17" xfId="846" xr:uid="{00000000-0005-0000-0000-00004E030000}"/>
    <cellStyle name="Style 18" xfId="847" xr:uid="{00000000-0005-0000-0000-00004F030000}"/>
    <cellStyle name="Style 19" xfId="848" xr:uid="{00000000-0005-0000-0000-000050030000}"/>
    <cellStyle name="Style 2" xfId="849" xr:uid="{00000000-0005-0000-0000-000051030000}"/>
    <cellStyle name="Style 20" xfId="850" xr:uid="{00000000-0005-0000-0000-000052030000}"/>
    <cellStyle name="Style 21" xfId="851" xr:uid="{00000000-0005-0000-0000-000053030000}"/>
    <cellStyle name="Style 22" xfId="852" xr:uid="{00000000-0005-0000-0000-000054030000}"/>
    <cellStyle name="Style 23" xfId="853" xr:uid="{00000000-0005-0000-0000-000055030000}"/>
    <cellStyle name="Style 24" xfId="854" xr:uid="{00000000-0005-0000-0000-000056030000}"/>
    <cellStyle name="Style 25" xfId="855" xr:uid="{00000000-0005-0000-0000-000057030000}"/>
    <cellStyle name="Style 26" xfId="856" xr:uid="{00000000-0005-0000-0000-000058030000}"/>
    <cellStyle name="Style 27" xfId="857" xr:uid="{00000000-0005-0000-0000-000059030000}"/>
    <cellStyle name="Style 28" xfId="858" xr:uid="{00000000-0005-0000-0000-00005A030000}"/>
    <cellStyle name="Style 29" xfId="859" xr:uid="{00000000-0005-0000-0000-00005B030000}"/>
    <cellStyle name="Style 3" xfId="860" xr:uid="{00000000-0005-0000-0000-00005C030000}"/>
    <cellStyle name="Style 30" xfId="861" xr:uid="{00000000-0005-0000-0000-00005D030000}"/>
    <cellStyle name="Style 31" xfId="862" xr:uid="{00000000-0005-0000-0000-00005E030000}"/>
    <cellStyle name="Style 32" xfId="863" xr:uid="{00000000-0005-0000-0000-00005F030000}"/>
    <cellStyle name="Style 33" xfId="864" xr:uid="{00000000-0005-0000-0000-000060030000}"/>
    <cellStyle name="Style 34" xfId="865" xr:uid="{00000000-0005-0000-0000-000061030000}"/>
    <cellStyle name="Style 35" xfId="866" xr:uid="{00000000-0005-0000-0000-000062030000}"/>
    <cellStyle name="Style 36" xfId="867" xr:uid="{00000000-0005-0000-0000-000063030000}"/>
    <cellStyle name="Style 37" xfId="868" xr:uid="{00000000-0005-0000-0000-000064030000}"/>
    <cellStyle name="Style 38" xfId="869" xr:uid="{00000000-0005-0000-0000-000065030000}"/>
    <cellStyle name="Style 39" xfId="870" xr:uid="{00000000-0005-0000-0000-000066030000}"/>
    <cellStyle name="Style 4" xfId="871" xr:uid="{00000000-0005-0000-0000-000067030000}"/>
    <cellStyle name="Style 40" xfId="872" xr:uid="{00000000-0005-0000-0000-000068030000}"/>
    <cellStyle name="Style 41" xfId="873" xr:uid="{00000000-0005-0000-0000-000069030000}"/>
    <cellStyle name="Style 42" xfId="874" xr:uid="{00000000-0005-0000-0000-00006A030000}"/>
    <cellStyle name="Style 43" xfId="875" xr:uid="{00000000-0005-0000-0000-00006B030000}"/>
    <cellStyle name="Style 44" xfId="876" xr:uid="{00000000-0005-0000-0000-00006C030000}"/>
    <cellStyle name="Style 45" xfId="877" xr:uid="{00000000-0005-0000-0000-00006D030000}"/>
    <cellStyle name="Style 46" xfId="878" xr:uid="{00000000-0005-0000-0000-00006E030000}"/>
    <cellStyle name="Style 47" xfId="879" xr:uid="{00000000-0005-0000-0000-00006F030000}"/>
    <cellStyle name="Style 48" xfId="880" xr:uid="{00000000-0005-0000-0000-000070030000}"/>
    <cellStyle name="Style 49" xfId="881" xr:uid="{00000000-0005-0000-0000-000071030000}"/>
    <cellStyle name="Style 5" xfId="882" xr:uid="{00000000-0005-0000-0000-000072030000}"/>
    <cellStyle name="Style 50" xfId="883" xr:uid="{00000000-0005-0000-0000-000073030000}"/>
    <cellStyle name="Style 51" xfId="884" xr:uid="{00000000-0005-0000-0000-000074030000}"/>
    <cellStyle name="Style 52" xfId="885" xr:uid="{00000000-0005-0000-0000-000075030000}"/>
    <cellStyle name="Style 53" xfId="886" xr:uid="{00000000-0005-0000-0000-000076030000}"/>
    <cellStyle name="Style 54" xfId="887" xr:uid="{00000000-0005-0000-0000-000077030000}"/>
    <cellStyle name="Style 55" xfId="888" xr:uid="{00000000-0005-0000-0000-000078030000}"/>
    <cellStyle name="Style 56" xfId="889" xr:uid="{00000000-0005-0000-0000-000079030000}"/>
    <cellStyle name="Style 57" xfId="890" xr:uid="{00000000-0005-0000-0000-00007A030000}"/>
    <cellStyle name="Style 58" xfId="891" xr:uid="{00000000-0005-0000-0000-00007B030000}"/>
    <cellStyle name="Style 59" xfId="892" xr:uid="{00000000-0005-0000-0000-00007C030000}"/>
    <cellStyle name="Style 6" xfId="893" xr:uid="{00000000-0005-0000-0000-00007D030000}"/>
    <cellStyle name="Style 60" xfId="894" xr:uid="{00000000-0005-0000-0000-00007E030000}"/>
    <cellStyle name="Style 61" xfId="895" xr:uid="{00000000-0005-0000-0000-00007F030000}"/>
    <cellStyle name="Style 62" xfId="896" xr:uid="{00000000-0005-0000-0000-000080030000}"/>
    <cellStyle name="Style 63" xfId="897" xr:uid="{00000000-0005-0000-0000-000081030000}"/>
    <cellStyle name="Style 64" xfId="898" xr:uid="{00000000-0005-0000-0000-000082030000}"/>
    <cellStyle name="Style 65" xfId="899" xr:uid="{00000000-0005-0000-0000-000083030000}"/>
    <cellStyle name="Style 66" xfId="900" xr:uid="{00000000-0005-0000-0000-000084030000}"/>
    <cellStyle name="Style 67" xfId="901" xr:uid="{00000000-0005-0000-0000-000085030000}"/>
    <cellStyle name="Style 68" xfId="902" xr:uid="{00000000-0005-0000-0000-000086030000}"/>
    <cellStyle name="Style 69" xfId="903" xr:uid="{00000000-0005-0000-0000-000087030000}"/>
    <cellStyle name="Style 7" xfId="904" xr:uid="{00000000-0005-0000-0000-000088030000}"/>
    <cellStyle name="Style 70" xfId="905" xr:uid="{00000000-0005-0000-0000-000089030000}"/>
    <cellStyle name="Style 71" xfId="906" xr:uid="{00000000-0005-0000-0000-00008A030000}"/>
    <cellStyle name="Style 72" xfId="907" xr:uid="{00000000-0005-0000-0000-00008B030000}"/>
    <cellStyle name="Style 73" xfId="908" xr:uid="{00000000-0005-0000-0000-00008C030000}"/>
    <cellStyle name="Style 74" xfId="909" xr:uid="{00000000-0005-0000-0000-00008D030000}"/>
    <cellStyle name="Style 75" xfId="910" xr:uid="{00000000-0005-0000-0000-00008E030000}"/>
    <cellStyle name="Style 76" xfId="911" xr:uid="{00000000-0005-0000-0000-00008F030000}"/>
    <cellStyle name="Style 77" xfId="912" xr:uid="{00000000-0005-0000-0000-000090030000}"/>
    <cellStyle name="Style 78" xfId="913" xr:uid="{00000000-0005-0000-0000-000091030000}"/>
    <cellStyle name="Style 79" xfId="914" xr:uid="{00000000-0005-0000-0000-000092030000}"/>
    <cellStyle name="Style 8" xfId="915" xr:uid="{00000000-0005-0000-0000-000093030000}"/>
    <cellStyle name="Style 80" xfId="916" xr:uid="{00000000-0005-0000-0000-000094030000}"/>
    <cellStyle name="Style 81" xfId="917" xr:uid="{00000000-0005-0000-0000-000095030000}"/>
    <cellStyle name="Style 82" xfId="918" xr:uid="{00000000-0005-0000-0000-000096030000}"/>
    <cellStyle name="Style 83" xfId="919" xr:uid="{00000000-0005-0000-0000-000097030000}"/>
    <cellStyle name="Style 9" xfId="920" xr:uid="{00000000-0005-0000-0000-000098030000}"/>
    <cellStyle name="Style Date" xfId="921" xr:uid="{00000000-0005-0000-0000-000099030000}"/>
    <cellStyle name="subhead" xfId="922" xr:uid="{00000000-0005-0000-0000-00009A030000}"/>
    <cellStyle name="SubTitle" xfId="923" xr:uid="{00000000-0005-0000-0000-00009B030000}"/>
    <cellStyle name="SubTitle 2" xfId="1277" xr:uid="{00000000-0005-0000-0000-0000FD040000}"/>
    <cellStyle name="Subtotal" xfId="924" xr:uid="{00000000-0005-0000-0000-00009C030000}"/>
    <cellStyle name="symbol" xfId="925" xr:uid="{00000000-0005-0000-0000-00009D030000}"/>
    <cellStyle name="T" xfId="926" xr:uid="{00000000-0005-0000-0000-00009E030000}"/>
    <cellStyle name="T_09_BangTongHopKinhPhiNhaso9" xfId="927" xr:uid="{00000000-0005-0000-0000-00009F030000}"/>
    <cellStyle name="T_09a_PhanMongNhaSo9" xfId="928" xr:uid="{00000000-0005-0000-0000-0000A0030000}"/>
    <cellStyle name="T_09b_PhanThannhaso9" xfId="929" xr:uid="{00000000-0005-0000-0000-0000A1030000}"/>
    <cellStyle name="T_09c_PhandienNhaso9" xfId="930" xr:uid="{00000000-0005-0000-0000-0000A2030000}"/>
    <cellStyle name="T_09d_Phannuocnhaso9" xfId="931" xr:uid="{00000000-0005-0000-0000-0000A3030000}"/>
    <cellStyle name="T_09f_TienluongThannhaso9" xfId="932" xr:uid="{00000000-0005-0000-0000-0000A4030000}"/>
    <cellStyle name="T_10b_PhanThanNhaSo10" xfId="933" xr:uid="{00000000-0005-0000-0000-0000A5030000}"/>
    <cellStyle name="T_Book1" xfId="934" xr:uid="{00000000-0005-0000-0000-0000A6030000}"/>
    <cellStyle name="T_Book1_09_BangTongHopKinhPhiNhaso9" xfId="935" xr:uid="{00000000-0005-0000-0000-0000A7030000}"/>
    <cellStyle name="T_Book1_09a_PhanMongNhaSo9" xfId="936" xr:uid="{00000000-0005-0000-0000-0000A8030000}"/>
    <cellStyle name="T_Book1_09b_PhanThannhaso9" xfId="937" xr:uid="{00000000-0005-0000-0000-0000A9030000}"/>
    <cellStyle name="T_Book1_09c_PhandienNhaso9" xfId="938" xr:uid="{00000000-0005-0000-0000-0000AA030000}"/>
    <cellStyle name="T_Book1_09d_Phannuocnhaso9" xfId="939" xr:uid="{00000000-0005-0000-0000-0000AB030000}"/>
    <cellStyle name="T_Book1_09f_TienluongThannhaso9" xfId="940" xr:uid="{00000000-0005-0000-0000-0000AC030000}"/>
    <cellStyle name="T_Book1_1" xfId="941" xr:uid="{00000000-0005-0000-0000-0000AD030000}"/>
    <cellStyle name="T_Book1_1_CPK" xfId="942" xr:uid="{00000000-0005-0000-0000-0000AE030000}"/>
    <cellStyle name="T_Book1_1_CTC - BoQ Agrex Building" xfId="943" xr:uid="{00000000-0005-0000-0000-0000AF030000}"/>
    <cellStyle name="T_Book1_1_Thiet bi" xfId="944" xr:uid="{00000000-0005-0000-0000-0000B0030000}"/>
    <cellStyle name="T_Book1_1_Thong tin chung Groz" xfId="945" xr:uid="{00000000-0005-0000-0000-0000B1030000}"/>
    <cellStyle name="T_Book1_1_Thong tin chung Groz_08. BoQ Vinamilk My Phuoc 2 BD - Rev.00 (Tong hop XD-M&amp;E)-29.09.09" xfId="946" xr:uid="{00000000-0005-0000-0000-0000B2030000}"/>
    <cellStyle name="T_Book1_10b_PhanThanNhaSo10" xfId="947" xr:uid="{00000000-0005-0000-0000-0000B3030000}"/>
    <cellStyle name="T_Book1_2" xfId="948" xr:uid="{00000000-0005-0000-0000-0000B4030000}"/>
    <cellStyle name="T_Book1_Book1" xfId="949" xr:uid="{00000000-0005-0000-0000-0000B5030000}"/>
    <cellStyle name="T_Book1_Book2" xfId="950" xr:uid="{00000000-0005-0000-0000-0000B6030000}"/>
    <cellStyle name="T_Book1_Book2_CTC - BoQ Agrex Building" xfId="951" xr:uid="{00000000-0005-0000-0000-0000B7030000}"/>
    <cellStyle name="T_Book1_BOQ-Puma-Update (02July, 2008)" xfId="952" xr:uid="{00000000-0005-0000-0000-0000B8030000}"/>
    <cellStyle name="T_Book1_Cau tao gia Nop thau Mau" xfId="953" xr:uid="{00000000-0005-0000-0000-0000B9030000}"/>
    <cellStyle name="T_Book1_Cau tao gia Nop thau Mau_Cau tao gia Arico T2-2009" xfId="954" xr:uid="{00000000-0005-0000-0000-0000BA030000}"/>
    <cellStyle name="T_Book1_Cau tao gia Nop thau Mau_Cau tao gia Arico T2-2009_08. BoQ Vinamilk My Phuoc 2 BD - Rev.00 (Tong hop XD-M&amp;E)-29.09.09" xfId="955" xr:uid="{00000000-0005-0000-0000-0000BB030000}"/>
    <cellStyle name="T_Book1_Cau tao gia Nop thau Mau_CTC - BoQ Agrex Building" xfId="956" xr:uid="{00000000-0005-0000-0000-0000BC030000}"/>
    <cellStyle name="T_Book1_Cau tao gia phan Tho (ham + Than) 15-9-08" xfId="957" xr:uid="{00000000-0005-0000-0000-0000BD030000}"/>
    <cellStyle name="T_Book1_CAU TAO GIA THE OCEAN VILLAS DANANG" xfId="958" xr:uid="{00000000-0005-0000-0000-0000BE030000}"/>
    <cellStyle name="T_Book1_Cau tao gia Thien Long Ha Nam (28-2-08)" xfId="959" xr:uid="{00000000-0005-0000-0000-0000BF030000}"/>
    <cellStyle name="T_Book1_Cau tao gia Thien Long Ha Nam (28-2-08)_Cau tao gia Arico T2-2009" xfId="960" xr:uid="{00000000-0005-0000-0000-0000C0030000}"/>
    <cellStyle name="T_Book1_Cau tao gia Thien Long Ha Nam (28-2-08)_Cau tao gia Arico T2-2009_08. BoQ Vinamilk My Phuoc 2 BD - Rev.00 (Tong hop XD-M&amp;E)-29.09.09" xfId="961" xr:uid="{00000000-0005-0000-0000-0000C1030000}"/>
    <cellStyle name="T_Book1_Cau tao gia Thien Long Ha Nam (28-2-08)_CTC - BoQ Agrex Building" xfId="962" xr:uid="{00000000-0005-0000-0000-0000C2030000}"/>
    <cellStyle name="T_Book1_cong tac chuan bi Nhatrang Plaza" xfId="963" xr:uid="{00000000-0005-0000-0000-0000C3030000}"/>
    <cellStyle name="T_Book1_cong tac chuan bi Nhatrang Plaza_08. BoQ Vinamilk My Phuoc 2 BD - Rev.00 (Tong hop XD-M&amp;E)-29.09.09" xfId="964" xr:uid="{00000000-0005-0000-0000-0000C4030000}"/>
    <cellStyle name="T_Book1_Cong tac chuan bi-Thanh" xfId="965" xr:uid="{00000000-0005-0000-0000-0000C5030000}"/>
    <cellStyle name="T_Book1_Cong tac chuan bi-Thanh_Cau tao gia Arico T2-2009" xfId="966" xr:uid="{00000000-0005-0000-0000-0000C6030000}"/>
    <cellStyle name="T_Book1_Cong tac chuan bi-Thanh_Cau tao gia Arico T2-2009_08. BoQ Vinamilk My Phuoc 2 BD - Rev.00 (Tong hop XD-M&amp;E)-29.09.09" xfId="967" xr:uid="{00000000-0005-0000-0000-0000C7030000}"/>
    <cellStyle name="T_Book1_Cong tac chuan bi-Thanh_CTC - BoQ Agrex Building" xfId="968" xr:uid="{00000000-0005-0000-0000-0000C8030000}"/>
    <cellStyle name="T_Book1_Copy of Cau tao gia Mau" xfId="969" xr:uid="{00000000-0005-0000-0000-0000C9030000}"/>
    <cellStyle name="T_Book1_CPK" xfId="970" xr:uid="{00000000-0005-0000-0000-0000CA030000}"/>
    <cellStyle name="T_Book1_CTC - BoQ Agrex Building" xfId="971" xr:uid="{00000000-0005-0000-0000-0000CB030000}"/>
    <cellStyle name="T_Book1_khoi luong gian dao + dam I" xfId="972" xr:uid="{00000000-0005-0000-0000-0000CC030000}"/>
    <cellStyle name="T_Book1_Thau phu - Cung cap -2008" xfId="973" xr:uid="{00000000-0005-0000-0000-0000CD030000}"/>
    <cellStyle name="T_Book1_Thiet bi" xfId="974" xr:uid="{00000000-0005-0000-0000-0000CE030000}"/>
    <cellStyle name="T_Book1_Thong tin chung Groz" xfId="975" xr:uid="{00000000-0005-0000-0000-0000CF030000}"/>
    <cellStyle name="T_Book1_Thong tin chung Groz_08. BoQ Vinamilk My Phuoc 2 BD - Rev.00 (Tong hop XD-M&amp;E)-29.09.09" xfId="976" xr:uid="{00000000-0005-0000-0000-0000D0030000}"/>
    <cellStyle name="T_Book1_Update rate-27.6.2008" xfId="977" xr:uid="{00000000-0005-0000-0000-0000D1030000}"/>
    <cellStyle name="T_Book1_Yeu cau thanh toan dot 2" xfId="978" xr:uid="{00000000-0005-0000-0000-0000D2030000}"/>
    <cellStyle name="T_Book2" xfId="979" xr:uid="{00000000-0005-0000-0000-0000D3030000}"/>
    <cellStyle name="T_Book2_CTC - BoQ Agrex Building" xfId="980" xr:uid="{00000000-0005-0000-0000-0000D4030000}"/>
    <cellStyle name="T_BoQ-E-TOWN 2 Building -COTECCONS" xfId="981" xr:uid="{00000000-0005-0000-0000-0000D5030000}"/>
    <cellStyle name="T_BoQ-E-TOWN 2 Building -COTECCONS_Cau tao gia Arico T2-2009" xfId="982" xr:uid="{00000000-0005-0000-0000-0000D6030000}"/>
    <cellStyle name="T_BoQ-E-TOWN 2 Building -COTECCONS_Cau tao gia Arico T2-2009_08. BoQ Vinamilk My Phuoc 2 BD - Rev.00 (Tong hop XD-M&amp;E)-29.09.09" xfId="983" xr:uid="{00000000-0005-0000-0000-0000D7030000}"/>
    <cellStyle name="T_BoQ-E-TOWN 2 Building -COTECCONS_Cau tao gia phan Tho (ham + Than) 15-9-08" xfId="984" xr:uid="{00000000-0005-0000-0000-0000D8030000}"/>
    <cellStyle name="T_BoQ-E-TOWN 2 Building -COTECCONS_Everich 2- Method statement 07-06" xfId="985" xr:uid="{00000000-0005-0000-0000-0000D9030000}"/>
    <cellStyle name="T_BoQ-E-TOWN 2 Building -COTECCONS_KL bien phap" xfId="986" xr:uid="{00000000-0005-0000-0000-0000DA030000}"/>
    <cellStyle name="T_BOQ-Puma-Update (02July, 2008)" xfId="987" xr:uid="{00000000-0005-0000-0000-0000DB030000}"/>
    <cellStyle name="T_Cau tao gia Nop thau Mau" xfId="988" xr:uid="{00000000-0005-0000-0000-0000DC030000}"/>
    <cellStyle name="T_Cau tao gia Nop thau Mau_CTC - BoQ Agrex Building" xfId="989" xr:uid="{00000000-0005-0000-0000-0000DD030000}"/>
    <cellStyle name="T_Cau tao gia phan Tho (ham + Than) 15-9-08" xfId="990" xr:uid="{00000000-0005-0000-0000-0000DE030000}"/>
    <cellStyle name="T_CAU TAO GIA THE OCEAN VILLAS DANANG" xfId="991" xr:uid="{00000000-0005-0000-0000-0000DF030000}"/>
    <cellStyle name="T_Cau tao gia Thien Long Ha Nam (28-2-08)" xfId="992" xr:uid="{00000000-0005-0000-0000-0000E0030000}"/>
    <cellStyle name="T_Cau tao gia Thien Long Ha Nam (28-2-08)_CTC - BoQ Agrex Building" xfId="993" xr:uid="{00000000-0005-0000-0000-0000E1030000}"/>
    <cellStyle name="T_cong tac chuan bi Nhatrang Plaza" xfId="994" xr:uid="{00000000-0005-0000-0000-0000E2030000}"/>
    <cellStyle name="T_Cong tac chuan bi-Thanh" xfId="995" xr:uid="{00000000-0005-0000-0000-0000E3030000}"/>
    <cellStyle name="T_Cong tac chuan bi-Thanh_CTC - BoQ Agrex Building" xfId="996" xr:uid="{00000000-0005-0000-0000-0000E4030000}"/>
    <cellStyle name="T_Copy of Cau tao gia Mau" xfId="997" xr:uid="{00000000-0005-0000-0000-0000E5030000}"/>
    <cellStyle name="T_CPK" xfId="998" xr:uid="{00000000-0005-0000-0000-0000E6030000}"/>
    <cellStyle name="T_CROWN WELL 冠威報價單20071015" xfId="999" xr:uid="{00000000-0005-0000-0000-0000E7030000}"/>
    <cellStyle name="T_CTC - BoQ Agrex Building" xfId="1000" xr:uid="{00000000-0005-0000-0000-0000E8030000}"/>
    <cellStyle name="T_Du toan 2 tang ham - 15%lai" xfId="1001" xr:uid="{00000000-0005-0000-0000-0000E9030000}"/>
    <cellStyle name="T_Du toan 2 tang ham - 15%lai_Cau tao gia Arico T2-2009" xfId="1002" xr:uid="{00000000-0005-0000-0000-0000EA030000}"/>
    <cellStyle name="T_Du toan 2 tang ham - 15%lai_Cau tao gia Arico T2-2009_08. BoQ Vinamilk My Phuoc 2 BD - Rev.00 (Tong hop XD-M&amp;E)-29.09.09" xfId="1003" xr:uid="{00000000-0005-0000-0000-0000EB030000}"/>
    <cellStyle name="T_Du toan 2 tang ham - 15%lai_Cau tao gia phan Tho (ham + Than) 15-9-08" xfId="1004" xr:uid="{00000000-0005-0000-0000-0000EC030000}"/>
    <cellStyle name="T_Du toan 2 tang ham - 15%lai_Everich 2- Method statement 07-06" xfId="1005" xr:uid="{00000000-0005-0000-0000-0000ED030000}"/>
    <cellStyle name="T_Du toan 2 tang ham - 15%lai_KL bien phap" xfId="1006" xr:uid="{00000000-0005-0000-0000-0000EE030000}"/>
    <cellStyle name="T_Du toan 2 tang ham - 15%lai_Thau phu - Cung cap -2008" xfId="1007" xr:uid="{00000000-0005-0000-0000-0000EF030000}"/>
    <cellStyle name="T_Du toan 2 tang ham - 15%lai_Thong tin chung Groz" xfId="1008" xr:uid="{00000000-0005-0000-0000-0000F0030000}"/>
    <cellStyle name="T_Du toan 2 tang ham - 15%lai_Thong tin chung Groz_08. BoQ Vinamilk My Phuoc 2 BD - Rev.00 (Tong hop XD-M&amp;E)-29.09.09" xfId="1009" xr:uid="{00000000-0005-0000-0000-0000F1030000}"/>
    <cellStyle name="T_DU TOAN SUPOR2806" xfId="1010" xr:uid="{00000000-0005-0000-0000-0000F2030000}"/>
    <cellStyle name="T_DU TOAN SUPOR2806_General Quotation 5-1-2008" xfId="1011" xr:uid="{00000000-0005-0000-0000-0000F3030000}"/>
    <cellStyle name="T_giatonghop thanhtoan d1" xfId="1012" xr:uid="{00000000-0005-0000-0000-0000F4030000}"/>
    <cellStyle name="T_khoi luong gian dao + dam I" xfId="1013" xr:uid="{00000000-0005-0000-0000-0000F5030000}"/>
    <cellStyle name="T_NHUA TAN HOA 10-6" xfId="1016" xr:uid="{00000000-0005-0000-0000-0000F8030000}"/>
    <cellStyle name="T_NHUA TAN HOA 10-6,KCmoi" xfId="1017" xr:uid="{00000000-0005-0000-0000-0000F9030000}"/>
    <cellStyle name="T_NHUA TAN HOA 10-6,KCmoi_General Quotation 5-1-2008" xfId="1018" xr:uid="{00000000-0005-0000-0000-0000FA030000}"/>
    <cellStyle name="T_NHUA TAN HOA 10-6,KCmoi_HUNG" xfId="1019" xr:uid="{00000000-0005-0000-0000-0000FB030000}"/>
    <cellStyle name="T_NHUA TAN HOA 10-6,KCmoi_HUNG_05. 080428- BOQ - Main construction(05May, 2008) Tai" xfId="1020" xr:uid="{00000000-0005-0000-0000-0000FC030000}"/>
    <cellStyle name="T_NHUA TAN HOA 10-6,KCmoi_HUNG_Addendum- BOQ - Main construction-r.2" xfId="1021" xr:uid="{00000000-0005-0000-0000-0000FD030000}"/>
    <cellStyle name="T_NHUA TAN HOA 10-6,KCmoi_HUNG_BOQ - Puma - Main construction (20May, 2008)" xfId="1022" xr:uid="{00000000-0005-0000-0000-0000FE030000}"/>
    <cellStyle name="T_NHUA TAN HOA 10-6,KCmoi_HUNG_BOQ - Puma - Main construction (20May, 2008) trinh nop" xfId="1023" xr:uid="{00000000-0005-0000-0000-0000FF030000}"/>
    <cellStyle name="T_NHUA TAN HOA 10-6,KCmoi_HUNG_BOQ-Puma-Rev 1 (29May, 2008)-Final" xfId="1024" xr:uid="{00000000-0005-0000-0000-000000040000}"/>
    <cellStyle name="T_NHUA TAN HOA 10-6,KCmoi_HUNG_BOQ-Puma-Rev 2 (03June, 2008)" xfId="1025" xr:uid="{00000000-0005-0000-0000-000001040000}"/>
    <cellStyle name="T_NHUA TAN HOA 10-6,KCmoi_HUNG_BOQ-Puma-Rev 2 (04June, 2008)" xfId="1026" xr:uid="{00000000-0005-0000-0000-000002040000}"/>
    <cellStyle name="T_NHUA TAN HOA 10-6,KCmoi_HUNG_BOQ-Puma-Rev 3" xfId="1027" xr:uid="{00000000-0005-0000-0000-000003040000}"/>
    <cellStyle name="T_NHUA TAN HOA 10-6,KCmoi_HUNG_BOQ-Puma-Update (02July, 2008)-R1" xfId="1028" xr:uid="{00000000-0005-0000-0000-000004040000}"/>
    <cellStyle name="T_NHUA TAN HOA 10-6,KCmoi_puma 16.1" xfId="1029" xr:uid="{00000000-0005-0000-0000-000005040000}"/>
    <cellStyle name="T_NHUA TAN HOA 10-6,KCmoi_puma 16.1_05. 080428- BOQ - Main construction(05May, 2008) Tai" xfId="1030" xr:uid="{00000000-0005-0000-0000-000006040000}"/>
    <cellStyle name="T_NHUA TAN HOA 10-6,KCmoi_puma 16.1_Addendum- BOQ - Main construction-r.2" xfId="1031" xr:uid="{00000000-0005-0000-0000-000007040000}"/>
    <cellStyle name="T_NHUA TAN HOA 10-6,KCmoi_puma 16.1_BOQ - Puma - Main construction (20May, 2008)" xfId="1032" xr:uid="{00000000-0005-0000-0000-000008040000}"/>
    <cellStyle name="T_NHUA TAN HOA 10-6,KCmoi_puma 16.1_BOQ - Puma - Main construction (20May, 2008) trinh nop" xfId="1033" xr:uid="{00000000-0005-0000-0000-000009040000}"/>
    <cellStyle name="T_NHUA TAN HOA 10-6,KCmoi_puma 16.1_BOQ-Puma-Rev 1 (29May, 2008)-Final" xfId="1034" xr:uid="{00000000-0005-0000-0000-00000A040000}"/>
    <cellStyle name="T_NHUA TAN HOA 10-6,KCmoi_puma 16.1_BOQ-Puma-Rev 2 (03June, 2008)" xfId="1035" xr:uid="{00000000-0005-0000-0000-00000B040000}"/>
    <cellStyle name="T_NHUA TAN HOA 10-6,KCmoi_puma 16.1_BOQ-Puma-Rev 2 (04June, 2008)" xfId="1036" xr:uid="{00000000-0005-0000-0000-00000C040000}"/>
    <cellStyle name="T_NHUA TAN HOA 10-6,KCmoi_puma 16.1_BOQ-Puma-Rev 3" xfId="1037" xr:uid="{00000000-0005-0000-0000-00000D040000}"/>
    <cellStyle name="T_NHUA TAN HOA 10-6,KCmoi_puma 16.1_BOQ-Puma-Update (02July, 2008)-R1" xfId="1038" xr:uid="{00000000-0005-0000-0000-00000E040000}"/>
    <cellStyle name="T_NHUA TAN HOA 10-6,KCmoi_puma 17.1" xfId="1039" xr:uid="{00000000-0005-0000-0000-00000F040000}"/>
    <cellStyle name="T_NHUA TAN HOA 10-6_05. 080428- BOQ - Main construction(05May, 2008) Tai" xfId="1040" xr:uid="{00000000-0005-0000-0000-000010040000}"/>
    <cellStyle name="T_NHUA TAN HOA 10-6_Addendum- BOQ - Main construction-r.2" xfId="1041" xr:uid="{00000000-0005-0000-0000-000011040000}"/>
    <cellStyle name="T_NHUA TAN HOA 10-6_BOQ - Puma - Main construction (20May, 2008)" xfId="1042" xr:uid="{00000000-0005-0000-0000-000012040000}"/>
    <cellStyle name="T_NHUA TAN HOA 10-6_BOQ - Puma - Main construction (20May, 2008) trinh nop" xfId="1043" xr:uid="{00000000-0005-0000-0000-000013040000}"/>
    <cellStyle name="T_NHUA TAN HOA 10-6_BOQ-Puma-Rev 1 (29May, 2008)-Final" xfId="1044" xr:uid="{00000000-0005-0000-0000-000014040000}"/>
    <cellStyle name="T_NHUA TAN HOA 10-6_BOQ-Puma-Rev 2 (03June, 2008)" xfId="1045" xr:uid="{00000000-0005-0000-0000-000015040000}"/>
    <cellStyle name="T_NHUA TAN HOA 10-6_BOQ-Puma-Rev 2 (04June, 2008)" xfId="1046" xr:uid="{00000000-0005-0000-0000-000016040000}"/>
    <cellStyle name="T_NHUA TAN HOA 10-6_BOQ-Puma-Rev 3" xfId="1047" xr:uid="{00000000-0005-0000-0000-000017040000}"/>
    <cellStyle name="T_NHUA TAN HOA 10-6_BOQ-Puma-Update (02July, 2008)-R1" xfId="1048" xr:uid="{00000000-0005-0000-0000-000018040000}"/>
    <cellStyle name="T_NHUA TAN HOA 10-6_Du toan BONFIGLIOLI-071126" xfId="1049" xr:uid="{00000000-0005-0000-0000-000019040000}"/>
    <cellStyle name="T_NHUA TAN HOA 10-6_Du toan BONFIGLIOLI-071126_General Quotation 5-1-2008" xfId="1050" xr:uid="{00000000-0005-0000-0000-00001A040000}"/>
    <cellStyle name="T_NHUA TAN HOA 10-6_Du toan BONFIGLIOLI-071126_HUNG" xfId="1051" xr:uid="{00000000-0005-0000-0000-00001B040000}"/>
    <cellStyle name="T_NHUA TAN HOA 10-6_Du toan BONFIGLIOLI-071126_HUNG_05. 080428- BOQ - Main construction(05May, 2008) Tai" xfId="1052" xr:uid="{00000000-0005-0000-0000-00001C040000}"/>
    <cellStyle name="T_NHUA TAN HOA 10-6_Du toan BONFIGLIOLI-071126_HUNG_Addendum- BOQ - Main construction-r.2" xfId="1053" xr:uid="{00000000-0005-0000-0000-00001D040000}"/>
    <cellStyle name="T_NHUA TAN HOA 10-6_Du toan BONFIGLIOLI-071126_HUNG_BOQ - Puma - Main construction (20May, 2008)" xfId="1054" xr:uid="{00000000-0005-0000-0000-00001E040000}"/>
    <cellStyle name="T_NHUA TAN HOA 10-6_Du toan BONFIGLIOLI-071126_HUNG_BOQ - Puma - Main construction (20May, 2008) trinh nop" xfId="1055" xr:uid="{00000000-0005-0000-0000-00001F040000}"/>
    <cellStyle name="T_NHUA TAN HOA 10-6_Du toan BONFIGLIOLI-071126_HUNG_BOQ-Puma-Rev 1 (29May, 2008)-Final" xfId="1056" xr:uid="{00000000-0005-0000-0000-000020040000}"/>
    <cellStyle name="T_NHUA TAN HOA 10-6_Du toan BONFIGLIOLI-071126_HUNG_BOQ-Puma-Rev 2 (03June, 2008)" xfId="1057" xr:uid="{00000000-0005-0000-0000-000021040000}"/>
    <cellStyle name="T_NHUA TAN HOA 10-6_Du toan BONFIGLIOLI-071126_HUNG_BOQ-Puma-Rev 2 (04June, 2008)" xfId="1058" xr:uid="{00000000-0005-0000-0000-000022040000}"/>
    <cellStyle name="T_NHUA TAN HOA 10-6_Du toan BONFIGLIOLI-071126_HUNG_BOQ-Puma-Rev 3" xfId="1059" xr:uid="{00000000-0005-0000-0000-000023040000}"/>
    <cellStyle name="T_NHUA TAN HOA 10-6_Du toan BONFIGLIOLI-071126_HUNG_BOQ-Puma-Update (02July, 2008)-R1" xfId="1060" xr:uid="{00000000-0005-0000-0000-000024040000}"/>
    <cellStyle name="T_NHUA TAN HOA 10-6_Du toan BONFIGLIOLI-071126_puma 16.1" xfId="1061" xr:uid="{00000000-0005-0000-0000-000025040000}"/>
    <cellStyle name="T_NHUA TAN HOA 10-6_Du toan BONFIGLIOLI-071126_puma 16.1_05. 080428- BOQ - Main construction(05May, 2008) Tai" xfId="1062" xr:uid="{00000000-0005-0000-0000-000026040000}"/>
    <cellStyle name="T_NHUA TAN HOA 10-6_Du toan BONFIGLIOLI-071126_puma 16.1_Addendum- BOQ - Main construction-r.2" xfId="1063" xr:uid="{00000000-0005-0000-0000-000027040000}"/>
    <cellStyle name="T_NHUA TAN HOA 10-6_Du toan BONFIGLIOLI-071126_puma 16.1_BOQ - Puma - Main construction (20May, 2008)" xfId="1064" xr:uid="{00000000-0005-0000-0000-000028040000}"/>
    <cellStyle name="T_NHUA TAN HOA 10-6_Du toan BONFIGLIOLI-071126_puma 16.1_BOQ - Puma - Main construction (20May, 2008) trinh nop" xfId="1065" xr:uid="{00000000-0005-0000-0000-000029040000}"/>
    <cellStyle name="T_NHUA TAN HOA 10-6_Du toan BONFIGLIOLI-071126_puma 16.1_BOQ-Puma-Rev 1 (29May, 2008)-Final" xfId="1066" xr:uid="{00000000-0005-0000-0000-00002A040000}"/>
    <cellStyle name="T_NHUA TAN HOA 10-6_Du toan BONFIGLIOLI-071126_puma 16.1_BOQ-Puma-Rev 2 (03June, 2008)" xfId="1067" xr:uid="{00000000-0005-0000-0000-00002B040000}"/>
    <cellStyle name="T_NHUA TAN HOA 10-6_Du toan BONFIGLIOLI-071126_puma 16.1_BOQ-Puma-Rev 2 (04June, 2008)" xfId="1068" xr:uid="{00000000-0005-0000-0000-00002C040000}"/>
    <cellStyle name="T_NHUA TAN HOA 10-6_Du toan BONFIGLIOLI-071126_puma 16.1_BOQ-Puma-Rev 3" xfId="1069" xr:uid="{00000000-0005-0000-0000-00002D040000}"/>
    <cellStyle name="T_NHUA TAN HOA 10-6_Du toan BONFIGLIOLI-071126_puma 16.1_BOQ-Puma-Update (02July, 2008)-R1" xfId="1070" xr:uid="{00000000-0005-0000-0000-00002E040000}"/>
    <cellStyle name="T_NHUA TAN HOA 10-6_Du toan BONFIGLIOLI-071126_puma 17.1" xfId="1071" xr:uid="{00000000-0005-0000-0000-00002F040000}"/>
    <cellStyle name="T_NHUA TAN HOA 10-6_Du toan BONFIGLIOLI-071126-Tram" xfId="1072" xr:uid="{00000000-0005-0000-0000-000030040000}"/>
    <cellStyle name="T_NHUA TAN HOA 10-6_Du toan BONFIGLIOLI-071126-Tram_General Quotation 5-1-2008" xfId="1073" xr:uid="{00000000-0005-0000-0000-000031040000}"/>
    <cellStyle name="T_NHUA TAN HOA 10-6_Du toan mau 11-2007" xfId="1074" xr:uid="{00000000-0005-0000-0000-000032040000}"/>
    <cellStyle name="T_NHUA TAN HOA 10-6_Du toan mau 11-2007_General Quotation 5-1-2008" xfId="1075" xr:uid="{00000000-0005-0000-0000-000033040000}"/>
    <cellStyle name="T_NHUA TAN HOA 10-6_Du toan mau 11-2007_HUNG" xfId="1076" xr:uid="{00000000-0005-0000-0000-000034040000}"/>
    <cellStyle name="T_NHUA TAN HOA 10-6_Du toan mau 11-2007_HUNG_05. 080428- BOQ - Main construction(05May, 2008) Tai" xfId="1077" xr:uid="{00000000-0005-0000-0000-000035040000}"/>
    <cellStyle name="T_NHUA TAN HOA 10-6_Du toan mau 11-2007_HUNG_Addendum- BOQ - Main construction-r.2" xfId="1078" xr:uid="{00000000-0005-0000-0000-000036040000}"/>
    <cellStyle name="T_NHUA TAN HOA 10-6_Du toan mau 11-2007_HUNG_BOQ - Puma - Main construction (20May, 2008)" xfId="1079" xr:uid="{00000000-0005-0000-0000-000037040000}"/>
    <cellStyle name="T_NHUA TAN HOA 10-6_Du toan mau 11-2007_HUNG_BOQ - Puma - Main construction (20May, 2008) trinh nop" xfId="1080" xr:uid="{00000000-0005-0000-0000-000038040000}"/>
    <cellStyle name="T_NHUA TAN HOA 10-6_Du toan mau 11-2007_HUNG_BOQ-Puma-Rev 1 (29May, 2008)-Final" xfId="1081" xr:uid="{00000000-0005-0000-0000-000039040000}"/>
    <cellStyle name="T_NHUA TAN HOA 10-6_Du toan mau 11-2007_HUNG_BOQ-Puma-Rev 2 (03June, 2008)" xfId="1082" xr:uid="{00000000-0005-0000-0000-00003A040000}"/>
    <cellStyle name="T_NHUA TAN HOA 10-6_Du toan mau 11-2007_HUNG_BOQ-Puma-Rev 2 (04June, 2008)" xfId="1083" xr:uid="{00000000-0005-0000-0000-00003B040000}"/>
    <cellStyle name="T_NHUA TAN HOA 10-6_Du toan mau 11-2007_HUNG_BOQ-Puma-Rev 3" xfId="1084" xr:uid="{00000000-0005-0000-0000-00003C040000}"/>
    <cellStyle name="T_NHUA TAN HOA 10-6_Du toan mau 11-2007_HUNG_BOQ-Puma-Update (02July, 2008)-R1" xfId="1085" xr:uid="{00000000-0005-0000-0000-00003D040000}"/>
    <cellStyle name="T_NHUA TAN HOA 10-6_Du toan mau 11-2007_puma 16.1" xfId="1086" xr:uid="{00000000-0005-0000-0000-00003E040000}"/>
    <cellStyle name="T_NHUA TAN HOA 10-6_Du toan mau 11-2007_puma 16.1_05. 080428- BOQ - Main construction(05May, 2008) Tai" xfId="1087" xr:uid="{00000000-0005-0000-0000-00003F040000}"/>
    <cellStyle name="T_NHUA TAN HOA 10-6_Du toan mau 11-2007_puma 16.1_Addendum- BOQ - Main construction-r.2" xfId="1088" xr:uid="{00000000-0005-0000-0000-000040040000}"/>
    <cellStyle name="T_NHUA TAN HOA 10-6_Du toan mau 11-2007_puma 16.1_BOQ - Puma - Main construction (20May, 2008)" xfId="1089" xr:uid="{00000000-0005-0000-0000-000041040000}"/>
    <cellStyle name="T_NHUA TAN HOA 10-6_Du toan mau 11-2007_puma 16.1_BOQ - Puma - Main construction (20May, 2008) trinh nop" xfId="1090" xr:uid="{00000000-0005-0000-0000-000042040000}"/>
    <cellStyle name="T_NHUA TAN HOA 10-6_Du toan mau 11-2007_puma 16.1_BOQ-Puma-Rev 1 (29May, 2008)-Final" xfId="1091" xr:uid="{00000000-0005-0000-0000-000043040000}"/>
    <cellStyle name="T_NHUA TAN HOA 10-6_Du toan mau 11-2007_puma 16.1_BOQ-Puma-Rev 2 (03June, 2008)" xfId="1092" xr:uid="{00000000-0005-0000-0000-000044040000}"/>
    <cellStyle name="T_NHUA TAN HOA 10-6_Du toan mau 11-2007_puma 16.1_BOQ-Puma-Rev 2 (04June, 2008)" xfId="1093" xr:uid="{00000000-0005-0000-0000-000045040000}"/>
    <cellStyle name="T_NHUA TAN HOA 10-6_Du toan mau 11-2007_puma 16.1_BOQ-Puma-Rev 3" xfId="1094" xr:uid="{00000000-0005-0000-0000-000046040000}"/>
    <cellStyle name="T_NHUA TAN HOA 10-6_Du toan mau 11-2007_puma 16.1_BOQ-Puma-Update (02July, 2008)-R1" xfId="1095" xr:uid="{00000000-0005-0000-0000-000047040000}"/>
    <cellStyle name="T_NHUA TAN HOA 10-6_Du toan mau 11-2007_puma 17.1" xfId="1096" xr:uid="{00000000-0005-0000-0000-000048040000}"/>
    <cellStyle name="T_No.01 Cat be tong be nang hang xuong 1 " xfId="1014" xr:uid="{00000000-0005-0000-0000-0000F6030000}"/>
    <cellStyle name="T_No.01 Cat be tong be nang hang xuong 1 _08. BoQ Vinamilk My Phuoc 2 BD - Rev.00 (Tong hop XD-M&amp;E)-29.09.09" xfId="1015" xr:uid="{00000000-0005-0000-0000-0000F7030000}"/>
    <cellStyle name="T_SUPOR2806-2" xfId="1097" xr:uid="{00000000-0005-0000-0000-000049040000}"/>
    <cellStyle name="T_SUPOR2806-2_05. 080428- BOQ - Main construction(05May, 2008) Tai" xfId="1098" xr:uid="{00000000-0005-0000-0000-00004A040000}"/>
    <cellStyle name="T_SUPOR2806-2_Addendum- BOQ - Main construction-r.2" xfId="1099" xr:uid="{00000000-0005-0000-0000-00004B040000}"/>
    <cellStyle name="T_SUPOR2806-2_BOQ - Puma - Main construction (20May, 2008)" xfId="1100" xr:uid="{00000000-0005-0000-0000-00004C040000}"/>
    <cellStyle name="T_SUPOR2806-2_BOQ - Puma - Main construction (20May, 2008) trinh nop" xfId="1101" xr:uid="{00000000-0005-0000-0000-00004D040000}"/>
    <cellStyle name="T_SUPOR2806-2_BOQ-Puma-Rev 1 (29May, 2008)-Final" xfId="1102" xr:uid="{00000000-0005-0000-0000-00004E040000}"/>
    <cellStyle name="T_SUPOR2806-2_BOQ-Puma-Rev 2 (03June, 2008)" xfId="1103" xr:uid="{00000000-0005-0000-0000-00004F040000}"/>
    <cellStyle name="T_SUPOR2806-2_BOQ-Puma-Rev 2 (04June, 2008)" xfId="1104" xr:uid="{00000000-0005-0000-0000-000050040000}"/>
    <cellStyle name="T_SUPOR2806-2_BOQ-Puma-Rev 3" xfId="1105" xr:uid="{00000000-0005-0000-0000-000051040000}"/>
    <cellStyle name="T_SUPOR2806-2_BOQ-Puma-Update (02July, 2008)-R1" xfId="1106" xr:uid="{00000000-0005-0000-0000-000052040000}"/>
    <cellStyle name="T_SUPOR2806-2_Du toan BONFIGLIOLI-071126" xfId="1107" xr:uid="{00000000-0005-0000-0000-000053040000}"/>
    <cellStyle name="T_SUPOR2806-2_Du toan BONFIGLIOLI-071126_General Quotation 5-1-2008" xfId="1108" xr:uid="{00000000-0005-0000-0000-000054040000}"/>
    <cellStyle name="T_SUPOR2806-2_Du toan BONFIGLIOLI-071126_HUNG" xfId="1109" xr:uid="{00000000-0005-0000-0000-000055040000}"/>
    <cellStyle name="T_SUPOR2806-2_Du toan BONFIGLIOLI-071126_HUNG_05. 080428- BOQ - Main construction(05May, 2008) Tai" xfId="1110" xr:uid="{00000000-0005-0000-0000-000056040000}"/>
    <cellStyle name="T_SUPOR2806-2_Du toan BONFIGLIOLI-071126_HUNG_Addendum- BOQ - Main construction-r.2" xfId="1111" xr:uid="{00000000-0005-0000-0000-000057040000}"/>
    <cellStyle name="T_SUPOR2806-2_Du toan BONFIGLIOLI-071126_HUNG_BOQ - Puma - Main construction (20May, 2008)" xfId="1112" xr:uid="{00000000-0005-0000-0000-000058040000}"/>
    <cellStyle name="T_SUPOR2806-2_Du toan BONFIGLIOLI-071126_HUNG_BOQ - Puma - Main construction (20May, 2008) trinh nop" xfId="1113" xr:uid="{00000000-0005-0000-0000-000059040000}"/>
    <cellStyle name="T_SUPOR2806-2_Du toan BONFIGLIOLI-071126_HUNG_BOQ-Puma-Rev 1 (29May, 2008)-Final" xfId="1114" xr:uid="{00000000-0005-0000-0000-00005A040000}"/>
    <cellStyle name="T_SUPOR2806-2_Du toan BONFIGLIOLI-071126_HUNG_BOQ-Puma-Rev 2 (03June, 2008)" xfId="1115" xr:uid="{00000000-0005-0000-0000-00005B040000}"/>
    <cellStyle name="T_SUPOR2806-2_Du toan BONFIGLIOLI-071126_HUNG_BOQ-Puma-Rev 2 (04June, 2008)" xfId="1116" xr:uid="{00000000-0005-0000-0000-00005C040000}"/>
    <cellStyle name="T_SUPOR2806-2_Du toan BONFIGLIOLI-071126_HUNG_BOQ-Puma-Rev 3" xfId="1117" xr:uid="{00000000-0005-0000-0000-00005D040000}"/>
    <cellStyle name="T_SUPOR2806-2_Du toan BONFIGLIOLI-071126_HUNG_BOQ-Puma-Update (02July, 2008)-R1" xfId="1118" xr:uid="{00000000-0005-0000-0000-00005E040000}"/>
    <cellStyle name="T_SUPOR2806-2_Du toan BONFIGLIOLI-071126_puma 16.1" xfId="1119" xr:uid="{00000000-0005-0000-0000-00005F040000}"/>
    <cellStyle name="T_SUPOR2806-2_Du toan BONFIGLIOLI-071126_puma 16.1_05. 080428- BOQ - Main construction(05May, 2008) Tai" xfId="1120" xr:uid="{00000000-0005-0000-0000-000060040000}"/>
    <cellStyle name="T_SUPOR2806-2_Du toan BONFIGLIOLI-071126_puma 16.1_Addendum- BOQ - Main construction-r.2" xfId="1121" xr:uid="{00000000-0005-0000-0000-000061040000}"/>
    <cellStyle name="T_SUPOR2806-2_Du toan BONFIGLIOLI-071126_puma 16.1_BOQ - Puma - Main construction (20May, 2008)" xfId="1122" xr:uid="{00000000-0005-0000-0000-000062040000}"/>
    <cellStyle name="T_SUPOR2806-2_Du toan BONFIGLIOLI-071126_puma 16.1_BOQ - Puma - Main construction (20May, 2008) trinh nop" xfId="1123" xr:uid="{00000000-0005-0000-0000-000063040000}"/>
    <cellStyle name="T_SUPOR2806-2_Du toan BONFIGLIOLI-071126_puma 16.1_BOQ-Puma-Rev 1 (29May, 2008)-Final" xfId="1124" xr:uid="{00000000-0005-0000-0000-000064040000}"/>
    <cellStyle name="T_SUPOR2806-2_Du toan BONFIGLIOLI-071126_puma 16.1_BOQ-Puma-Rev 2 (03June, 2008)" xfId="1125" xr:uid="{00000000-0005-0000-0000-000065040000}"/>
    <cellStyle name="T_SUPOR2806-2_Du toan BONFIGLIOLI-071126_puma 16.1_BOQ-Puma-Rev 2 (04June, 2008)" xfId="1126" xr:uid="{00000000-0005-0000-0000-000066040000}"/>
    <cellStyle name="T_SUPOR2806-2_Du toan BONFIGLIOLI-071126_puma 16.1_BOQ-Puma-Rev 3" xfId="1127" xr:uid="{00000000-0005-0000-0000-000067040000}"/>
    <cellStyle name="T_SUPOR2806-2_Du toan BONFIGLIOLI-071126_puma 16.1_BOQ-Puma-Update (02July, 2008)-R1" xfId="1128" xr:uid="{00000000-0005-0000-0000-000068040000}"/>
    <cellStyle name="T_SUPOR2806-2_Du toan BONFIGLIOLI-071126_puma 17.1" xfId="1129" xr:uid="{00000000-0005-0000-0000-000069040000}"/>
    <cellStyle name="T_SUPOR2806-2_Du toan BONFIGLIOLI-071126-Tram" xfId="1130" xr:uid="{00000000-0005-0000-0000-00006A040000}"/>
    <cellStyle name="T_SUPOR2806-2_Du toan BONFIGLIOLI-071126-Tram_General Quotation 5-1-2008" xfId="1131" xr:uid="{00000000-0005-0000-0000-00006B040000}"/>
    <cellStyle name="T_SUPOR2806-2_Du toan mau 11-2007" xfId="1132" xr:uid="{00000000-0005-0000-0000-00006C040000}"/>
    <cellStyle name="T_SUPOR2806-2_Du toan mau 11-2007_General Quotation 5-1-2008" xfId="1133" xr:uid="{00000000-0005-0000-0000-00006D040000}"/>
    <cellStyle name="T_SUPOR2806-2_Du toan mau 11-2007_HUNG" xfId="1134" xr:uid="{00000000-0005-0000-0000-00006E040000}"/>
    <cellStyle name="T_SUPOR2806-2_Du toan mau 11-2007_HUNG_05. 080428- BOQ - Main construction(05May, 2008) Tai" xfId="1135" xr:uid="{00000000-0005-0000-0000-00006F040000}"/>
    <cellStyle name="T_SUPOR2806-2_Du toan mau 11-2007_HUNG_Addendum- BOQ - Main construction-r.2" xfId="1136" xr:uid="{00000000-0005-0000-0000-000070040000}"/>
    <cellStyle name="T_SUPOR2806-2_Du toan mau 11-2007_HUNG_BOQ - Puma - Main construction (20May, 2008)" xfId="1137" xr:uid="{00000000-0005-0000-0000-000071040000}"/>
    <cellStyle name="T_SUPOR2806-2_Du toan mau 11-2007_HUNG_BOQ - Puma - Main construction (20May, 2008) trinh nop" xfId="1138" xr:uid="{00000000-0005-0000-0000-000072040000}"/>
    <cellStyle name="T_SUPOR2806-2_Du toan mau 11-2007_HUNG_BOQ-Puma-Rev 1 (29May, 2008)-Final" xfId="1139" xr:uid="{00000000-0005-0000-0000-000073040000}"/>
    <cellStyle name="T_SUPOR2806-2_Du toan mau 11-2007_HUNG_BOQ-Puma-Rev 2 (03June, 2008)" xfId="1140" xr:uid="{00000000-0005-0000-0000-000074040000}"/>
    <cellStyle name="T_SUPOR2806-2_Du toan mau 11-2007_HUNG_BOQ-Puma-Rev 2 (04June, 2008)" xfId="1141" xr:uid="{00000000-0005-0000-0000-000075040000}"/>
    <cellStyle name="T_SUPOR2806-2_Du toan mau 11-2007_HUNG_BOQ-Puma-Rev 3" xfId="1142" xr:uid="{00000000-0005-0000-0000-000076040000}"/>
    <cellStyle name="T_SUPOR2806-2_Du toan mau 11-2007_HUNG_BOQ-Puma-Update (02July, 2008)-R1" xfId="1143" xr:uid="{00000000-0005-0000-0000-000077040000}"/>
    <cellStyle name="T_SUPOR2806-2_Du toan mau 11-2007_puma 16.1" xfId="1144" xr:uid="{00000000-0005-0000-0000-000078040000}"/>
    <cellStyle name="T_SUPOR2806-2_Du toan mau 11-2007_puma 16.1_05. 080428- BOQ - Main construction(05May, 2008) Tai" xfId="1145" xr:uid="{00000000-0005-0000-0000-000079040000}"/>
    <cellStyle name="T_SUPOR2806-2_Du toan mau 11-2007_puma 16.1_Addendum- BOQ - Main construction-r.2" xfId="1146" xr:uid="{00000000-0005-0000-0000-00007A040000}"/>
    <cellStyle name="T_SUPOR2806-2_Du toan mau 11-2007_puma 16.1_BOQ - Puma - Main construction (20May, 2008)" xfId="1147" xr:uid="{00000000-0005-0000-0000-00007B040000}"/>
    <cellStyle name="T_SUPOR2806-2_Du toan mau 11-2007_puma 16.1_BOQ - Puma - Main construction (20May, 2008) trinh nop" xfId="1148" xr:uid="{00000000-0005-0000-0000-00007C040000}"/>
    <cellStyle name="T_SUPOR2806-2_Du toan mau 11-2007_puma 16.1_BOQ-Puma-Rev 1 (29May, 2008)-Final" xfId="1149" xr:uid="{00000000-0005-0000-0000-00007D040000}"/>
    <cellStyle name="T_SUPOR2806-2_Du toan mau 11-2007_puma 16.1_BOQ-Puma-Rev 2 (03June, 2008)" xfId="1150" xr:uid="{00000000-0005-0000-0000-00007E040000}"/>
    <cellStyle name="T_SUPOR2806-2_Du toan mau 11-2007_puma 16.1_BOQ-Puma-Rev 2 (04June, 2008)" xfId="1151" xr:uid="{00000000-0005-0000-0000-00007F040000}"/>
    <cellStyle name="T_SUPOR2806-2_Du toan mau 11-2007_puma 16.1_BOQ-Puma-Rev 3" xfId="1152" xr:uid="{00000000-0005-0000-0000-000080040000}"/>
    <cellStyle name="T_SUPOR2806-2_Du toan mau 11-2007_puma 16.1_BOQ-Puma-Update (02July, 2008)-R1" xfId="1153" xr:uid="{00000000-0005-0000-0000-000081040000}"/>
    <cellStyle name="T_SUPOR2806-2_Du toan mau 11-2007_puma 17.1" xfId="1154" xr:uid="{00000000-0005-0000-0000-000082040000}"/>
    <cellStyle name="T_Thiet bi" xfId="1155" xr:uid="{00000000-0005-0000-0000-000083040000}"/>
    <cellStyle name="T_Thong tin chung Groz" xfId="1156" xr:uid="{00000000-0005-0000-0000-000084040000}"/>
    <cellStyle name="T_Update rate-27.6.2008" xfId="1157" xr:uid="{00000000-0005-0000-0000-000085040000}"/>
    <cellStyle name="Tan" xfId="1158" xr:uid="{00000000-0005-0000-0000-000086040000}"/>
    <cellStyle name="Text Indent A" xfId="1159" xr:uid="{00000000-0005-0000-0000-000087040000}"/>
    <cellStyle name="Text Indent B" xfId="1160" xr:uid="{00000000-0005-0000-0000-000088040000}"/>
    <cellStyle name="Text Indent C" xfId="1161" xr:uid="{00000000-0005-0000-0000-000089040000}"/>
    <cellStyle name="th" xfId="1169" xr:uid="{00000000-0005-0000-0000-000091040000}"/>
    <cellStyle name="Times New Roman" xfId="1162" xr:uid="{00000000-0005-0000-0000-00008A040000}"/>
    <cellStyle name="Title 2" xfId="1163" xr:uid="{00000000-0005-0000-0000-00008B040000}"/>
    <cellStyle name="Title 2 2" xfId="1274" xr:uid="{00000000-0005-0000-0000-0000FA040000}"/>
    <cellStyle name="TNN" xfId="1164" xr:uid="{00000000-0005-0000-0000-00008C040000}"/>
    <cellStyle name="Top Header" xfId="1281" xr:uid="{00000000-0005-0000-0000-000001050000}"/>
    <cellStyle name="Top Header 2" xfId="1285" xr:uid="{00000000-0005-0000-0000-000005050000}"/>
    <cellStyle name="Total 2" xfId="1165" xr:uid="{00000000-0005-0000-0000-00008D040000}"/>
    <cellStyle name="tt1" xfId="1166" xr:uid="{00000000-0005-0000-0000-00008E040000}"/>
    <cellStyle name="Tusental (0)_pldt" xfId="1167" xr:uid="{00000000-0005-0000-0000-00008F040000}"/>
    <cellStyle name="Tusental_pldt" xfId="1168" xr:uid="{00000000-0005-0000-0000-000090040000}"/>
    <cellStyle name="ux_3_¼­¿ï-¾È»ê" xfId="1170" xr:uid="{00000000-0005-0000-0000-000092040000}"/>
    <cellStyle name="Valuta (0)_pldt" xfId="1171" xr:uid="{00000000-0005-0000-0000-000093040000}"/>
    <cellStyle name="Valuta_pldt" xfId="1172" xr:uid="{00000000-0005-0000-0000-000094040000}"/>
    <cellStyle name="viet" xfId="1173" xr:uid="{00000000-0005-0000-0000-000095040000}"/>
    <cellStyle name="viet2" xfId="1174" xr:uid="{00000000-0005-0000-0000-000096040000}"/>
    <cellStyle name="Vietnam 1" xfId="1175" xr:uid="{00000000-0005-0000-0000-000097040000}"/>
    <cellStyle name="VN new romanNormal" xfId="1176" xr:uid="{00000000-0005-0000-0000-000098040000}"/>
    <cellStyle name="vn time 10" xfId="1177" xr:uid="{00000000-0005-0000-0000-000099040000}"/>
    <cellStyle name="VN time new roman" xfId="1178" xr:uid="{00000000-0005-0000-0000-00009A040000}"/>
    <cellStyle name="vnhead1" xfId="1181" xr:uid="{00000000-0005-0000-0000-00009D040000}"/>
    <cellStyle name="vnhead3" xfId="1182" xr:uid="{00000000-0005-0000-0000-00009E040000}"/>
    <cellStyle name="vntxt1" xfId="1179" xr:uid="{00000000-0005-0000-0000-00009B040000}"/>
    <cellStyle name="vntxt2" xfId="1180" xr:uid="{00000000-0005-0000-0000-00009C040000}"/>
    <cellStyle name="Währung [0]_ALLE_ITEMS_280800_EV_NL" xfId="1183" xr:uid="{00000000-0005-0000-0000-00009F040000}"/>
    <cellStyle name="Währung_AKE_100N" xfId="1184" xr:uid="{00000000-0005-0000-0000-0000A0040000}"/>
    <cellStyle name="Walutowy [0]_Invoices2001Slovakia" xfId="1185" xr:uid="{00000000-0005-0000-0000-0000A1040000}"/>
    <cellStyle name="Walutowy_Invoices2001Slovakia" xfId="1186" xr:uid="{00000000-0005-0000-0000-0000A2040000}"/>
    <cellStyle name="Warning Text 2" xfId="1187" xr:uid="{00000000-0005-0000-0000-0000A3040000}"/>
    <cellStyle name="xuan" xfId="1188" xr:uid="{00000000-0005-0000-0000-0000A4040000}"/>
    <cellStyle name="Ý kh¸c_B¶ng 1 (2)" xfId="1189" xr:uid="{00000000-0005-0000-0000-0000A5040000}"/>
    <cellStyle name="เครื่องหมายสกุลเงิน [0]_FTC_OFFER" xfId="1190" xr:uid="{00000000-0005-0000-0000-0000A6040000}"/>
    <cellStyle name="เครื่องหมายสกุลเงิน_FTC_OFFER" xfId="1191" xr:uid="{00000000-0005-0000-0000-0000A7040000}"/>
    <cellStyle name="ปกติ_FTC_OFFER" xfId="1192" xr:uid="{00000000-0005-0000-0000-0000A8040000}"/>
    <cellStyle name=" [0.00]_ Att. 1- Cover" xfId="1193" xr:uid="{00000000-0005-0000-0000-0000A9040000}"/>
    <cellStyle name="_ Att. 1- Cover" xfId="1194" xr:uid="{00000000-0005-0000-0000-0000AA040000}"/>
    <cellStyle name="?_ Att. 1- Cover" xfId="1195" xr:uid="{00000000-0005-0000-0000-0000AB040000}"/>
    <cellStyle name="똿뗦먛귟 [0.00]_PRODUCT DETAIL Q1" xfId="1196" xr:uid="{00000000-0005-0000-0000-0000AC040000}"/>
    <cellStyle name="똿뗦먛귟_PRODUCT DETAIL Q1" xfId="1197" xr:uid="{00000000-0005-0000-0000-0000AD040000}"/>
    <cellStyle name="믅됞 [0.00]_PRODUCT DETAIL Q1" xfId="1198" xr:uid="{00000000-0005-0000-0000-0000AE040000}"/>
    <cellStyle name="믅됞_PRODUCT DETAIL Q1" xfId="1199" xr:uid="{00000000-0005-0000-0000-0000AF040000}"/>
    <cellStyle name="백분율_95" xfId="1200" xr:uid="{00000000-0005-0000-0000-0000B0040000}"/>
    <cellStyle name="뷭?_BOOKSHIP" xfId="1201" xr:uid="{00000000-0005-0000-0000-0000B1040000}"/>
    <cellStyle name="쉼표 [0]_PCS-3~1" xfId="1202" xr:uid="{00000000-0005-0000-0000-0000B2040000}"/>
    <cellStyle name="쉼표_EQ_ROOM cost" xfId="1203" xr:uid="{00000000-0005-0000-0000-0000B3040000}"/>
    <cellStyle name="콤마 [ - 유형1" xfId="1204" xr:uid="{00000000-0005-0000-0000-0000B4040000}"/>
    <cellStyle name="콤마 [ - 유형2" xfId="1205" xr:uid="{00000000-0005-0000-0000-0000B5040000}"/>
    <cellStyle name="콤마 [ - 유형3" xfId="1206" xr:uid="{00000000-0005-0000-0000-0000B6040000}"/>
    <cellStyle name="콤마 [ - 유형4" xfId="1207" xr:uid="{00000000-0005-0000-0000-0000B7040000}"/>
    <cellStyle name="콤마 [ - 유형5" xfId="1208" xr:uid="{00000000-0005-0000-0000-0000B8040000}"/>
    <cellStyle name="콤마 [ - 유형6" xfId="1209" xr:uid="{00000000-0005-0000-0000-0000B9040000}"/>
    <cellStyle name="콤마 [ - 유형7" xfId="1210" xr:uid="{00000000-0005-0000-0000-0000BA040000}"/>
    <cellStyle name="콤마 [ - 유형8" xfId="1211" xr:uid="{00000000-0005-0000-0000-0000BB040000}"/>
    <cellStyle name="콤마 [0]_ 비목별 월별기술 " xfId="1212" xr:uid="{00000000-0005-0000-0000-0000BC040000}"/>
    <cellStyle name="콤마_ 비목별 월별기술 " xfId="1213" xr:uid="{00000000-0005-0000-0000-0000BD040000}"/>
    <cellStyle name="통화 [0]_1" xfId="1214" xr:uid="{00000000-0005-0000-0000-0000BE040000}"/>
    <cellStyle name="통화_1" xfId="1215" xr:uid="{00000000-0005-0000-0000-0000BF040000}"/>
    <cellStyle name="표준_ 97년 경영분석(안)" xfId="1216" xr:uid="{00000000-0005-0000-0000-0000C0040000}"/>
    <cellStyle name="표줠_Sheet1_1_총괄표 (수출입) (2)" xfId="1217" xr:uid="{00000000-0005-0000-0000-0000C1040000}"/>
    <cellStyle name="一般_00Q3902REV.1" xfId="1218" xr:uid="{00000000-0005-0000-0000-0000C2040000}"/>
    <cellStyle name="中等" xfId="1219" xr:uid="{00000000-0005-0000-0000-0000C3040000}"/>
    <cellStyle name="備註" xfId="1220" xr:uid="{00000000-0005-0000-0000-0000C4040000}"/>
    <cellStyle name="千分位[0]_00Q3902REV.1" xfId="1221" xr:uid="{00000000-0005-0000-0000-0000C5040000}"/>
    <cellStyle name="千分位_00Q3902REV.1" xfId="1222" xr:uid="{00000000-0005-0000-0000-0000C6040000}"/>
    <cellStyle name="合計" xfId="1223" xr:uid="{00000000-0005-0000-0000-0000C7040000}"/>
    <cellStyle name="壞" xfId="1224" xr:uid="{00000000-0005-0000-0000-0000C8040000}"/>
    <cellStyle name="好" xfId="1225" xr:uid="{00000000-0005-0000-0000-0000C9040000}"/>
    <cellStyle name="常规_j1" xfId="1226" xr:uid="{00000000-0005-0000-0000-0000CA040000}"/>
    <cellStyle name="桁区切り [0.00]_BE-BQ" xfId="1227" xr:uid="{00000000-0005-0000-0000-0000CB040000}"/>
    <cellStyle name="桁区切り_BE-BQ" xfId="1228" xr:uid="{00000000-0005-0000-0000-0000CC040000}"/>
    <cellStyle name="桁蟻唇Ｆ [0.00]_s-ns-bq" xfId="1229" xr:uid="{00000000-0005-0000-0000-0000CD040000}"/>
    <cellStyle name="桁蟻唇Ｆ_s-ns-bq" xfId="1230" xr:uid="{00000000-0005-0000-0000-0000CE040000}"/>
    <cellStyle name="標準_(A1)BOQ " xfId="1231" xr:uid="{00000000-0005-0000-0000-0000CF040000}"/>
    <cellStyle name="標題" xfId="1232" xr:uid="{00000000-0005-0000-0000-0000D0040000}"/>
    <cellStyle name="標題 1" xfId="1233" xr:uid="{00000000-0005-0000-0000-0000D1040000}"/>
    <cellStyle name="標題 2" xfId="1234" xr:uid="{00000000-0005-0000-0000-0000D2040000}"/>
    <cellStyle name="標題 3" xfId="1235" xr:uid="{00000000-0005-0000-0000-0000D3040000}"/>
    <cellStyle name="標題 4" xfId="1236" xr:uid="{00000000-0005-0000-0000-0000D4040000}"/>
    <cellStyle name="檢查儲存格" xfId="1237" xr:uid="{00000000-0005-0000-0000-0000D5040000}"/>
    <cellStyle name="脱浦 [0.00]_CONDITION (2)" xfId="1238" xr:uid="{00000000-0005-0000-0000-0000D6040000}"/>
    <cellStyle name="脱浦_CONDITION (2)" xfId="1239" xr:uid="{00000000-0005-0000-0000-0000D7040000}"/>
    <cellStyle name="計算方式" xfId="1240" xr:uid="{00000000-0005-0000-0000-0000D8040000}"/>
    <cellStyle name="說明文字" xfId="1241" xr:uid="{00000000-0005-0000-0000-0000D9040000}"/>
    <cellStyle name="警告文字" xfId="1242" xr:uid="{00000000-0005-0000-0000-0000DA040000}"/>
    <cellStyle name="貨幣 [0]_00Q3902REV.1" xfId="1243" xr:uid="{00000000-0005-0000-0000-0000DB040000}"/>
    <cellStyle name="貨幣[0]_BRE" xfId="1244" xr:uid="{00000000-0005-0000-0000-0000DC040000}"/>
    <cellStyle name="貨幣_00Q3902REV.1" xfId="1245" xr:uid="{00000000-0005-0000-0000-0000DD040000}"/>
    <cellStyle name="超連結_Book1" xfId="1246" xr:uid="{00000000-0005-0000-0000-0000DE040000}"/>
    <cellStyle name="輔色1" xfId="1247" xr:uid="{00000000-0005-0000-0000-0000DF040000}"/>
    <cellStyle name="輔色2" xfId="1248" xr:uid="{00000000-0005-0000-0000-0000E0040000}"/>
    <cellStyle name="輔色3" xfId="1249" xr:uid="{00000000-0005-0000-0000-0000E1040000}"/>
    <cellStyle name="輔色4" xfId="1250" xr:uid="{00000000-0005-0000-0000-0000E2040000}"/>
    <cellStyle name="輔色5" xfId="1251" xr:uid="{00000000-0005-0000-0000-0000E3040000}"/>
    <cellStyle name="輔色6" xfId="1252" xr:uid="{00000000-0005-0000-0000-0000E4040000}"/>
    <cellStyle name="輸入" xfId="1253" xr:uid="{00000000-0005-0000-0000-0000E5040000}"/>
    <cellStyle name="輸出" xfId="1254" xr:uid="{00000000-0005-0000-0000-0000E6040000}"/>
    <cellStyle name="通貨 [0.00]_BE-BQ" xfId="1255" xr:uid="{00000000-0005-0000-0000-0000E7040000}"/>
    <cellStyle name="通貨_BE-BQ" xfId="1256" xr:uid="{00000000-0005-0000-0000-0000E8040000}"/>
    <cellStyle name="連結的儲存格" xfId="1257" xr:uid="{00000000-0005-0000-0000-0000E9040000}"/>
    <cellStyle name="隨後的超連結_Book1" xfId="1258" xr:uid="{00000000-0005-0000-0000-0000EA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511627</xdr:colOff>
      <xdr:row>0</xdr:row>
      <xdr:rowOff>97975</xdr:rowOff>
    </xdr:from>
    <xdr:to>
      <xdr:col>21</xdr:col>
      <xdr:colOff>3475605</xdr:colOff>
      <xdr:row>2</xdr:row>
      <xdr:rowOff>129293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149456" y="97975"/>
          <a:ext cx="2963978" cy="1239632"/>
        </a:xfrm>
        <a:prstGeom prst="rect">
          <a:avLst/>
        </a:prstGeom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W:\4.BaoCao\BaoCaoTaiChinhDoanhNghiep2026\6ThangCuoiNam\VONE_BangLuongVone_DuKienTinhCacThangSau_Them01NhanSuTu072026.xlsx" TargetMode="External"/><Relationship Id="rId1" Type="http://schemas.openxmlformats.org/officeDocument/2006/relationships/externalLinkPath" Target="file:///W:\4.BaoCao\BaoCaoTaiChinhDoanhNghiep2026\6ThangCuoiNam\VONE_BangLuongVone_DuKienTinhCacThangSau_Them01NhanSuTu07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S chung"/>
      <sheetName val="Thong tin luong NV"/>
      <sheetName val="Luong Thang 05.2026"/>
      <sheetName val="Luong Thang 06.2026"/>
      <sheetName val="Luong Thang 07.2026"/>
      <sheetName val="Luong Thang 08.2026"/>
      <sheetName val="Luong Thang 09.2026"/>
    </sheetNames>
    <sheetDataSet>
      <sheetData sheetId="0"/>
      <sheetData sheetId="1"/>
      <sheetData sheetId="2">
        <row r="22">
          <cell r="AE22">
            <v>104171500</v>
          </cell>
          <cell r="AH22">
            <v>7310000</v>
          </cell>
        </row>
        <row r="25">
          <cell r="L25">
            <v>1540000</v>
          </cell>
        </row>
      </sheetData>
      <sheetData sheetId="3">
        <row r="22">
          <cell r="AH22">
            <v>10965000</v>
          </cell>
        </row>
        <row r="24">
          <cell r="L24">
            <v>2460000</v>
          </cell>
        </row>
        <row r="26">
          <cell r="AF26">
            <v>129048000</v>
          </cell>
        </row>
      </sheetData>
      <sheetData sheetId="4">
        <row r="23">
          <cell r="AH23">
            <v>14620000</v>
          </cell>
        </row>
        <row r="25">
          <cell r="L25">
            <v>2860000</v>
          </cell>
        </row>
        <row r="27">
          <cell r="AG27">
            <v>162095000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H90"/>
  <sheetViews>
    <sheetView view="pageBreakPreview" topLeftCell="A3" zoomScale="70" zoomScaleNormal="100" zoomScaleSheetLayoutView="70" workbookViewId="0">
      <selection activeCell="AN84" sqref="AN84"/>
    </sheetView>
  </sheetViews>
  <sheetFormatPr defaultColWidth="8.88671875" defaultRowHeight="16.8" outlineLevelRow="1" outlineLevelCol="1"/>
  <cols>
    <col min="1" max="1" width="10.77734375" style="32" customWidth="1"/>
    <col min="2" max="2" width="60.77734375" style="31" customWidth="1"/>
    <col min="3" max="3" width="20.6640625" style="28" customWidth="1"/>
    <col min="4" max="4" width="20.6640625" style="28" customWidth="1" collapsed="1"/>
    <col min="5" max="5" width="20.6640625" style="153" hidden="1" customWidth="1" outlineLevel="1"/>
    <col min="6" max="7" width="20.6640625" style="154" hidden="1" customWidth="1" outlineLevel="1"/>
    <col min="8" max="10" width="20.6640625" style="153" hidden="1" customWidth="1" outlineLevel="1"/>
    <col min="11" max="11" width="20.6640625" style="155" customWidth="1"/>
    <col min="12" max="12" width="20.6640625" style="155" customWidth="1" collapsed="1"/>
    <col min="13" max="15" width="20.6640625" style="155" hidden="1" customWidth="1" outlineLevel="1"/>
    <col min="16" max="22" width="20.6640625" style="31" hidden="1" customWidth="1" outlineLevel="1"/>
    <col min="23" max="23" width="20.6640625" style="31" customWidth="1"/>
    <col min="24" max="24" width="20.6640625" style="31" customWidth="1" collapsed="1"/>
    <col min="25" max="34" width="20.6640625" style="31" hidden="1" customWidth="1" outlineLevel="1"/>
    <col min="35" max="35" width="8.88671875" style="31" customWidth="1"/>
    <col min="36" max="16384" width="8.88671875" style="31"/>
  </cols>
  <sheetData>
    <row r="1" spans="1:34" ht="15" customHeight="1"/>
    <row r="2" spans="1:34" s="158" customFormat="1" ht="40.049999999999997" customHeight="1">
      <c r="A2" s="156" t="s">
        <v>0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7"/>
      <c r="M2" s="157"/>
      <c r="N2" s="157"/>
      <c r="O2" s="157"/>
    </row>
    <row r="3" spans="1:34" s="161" customFormat="1" ht="30" customHeight="1">
      <c r="A3" s="159" t="s">
        <v>1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60"/>
      <c r="M3" s="160"/>
      <c r="N3" s="160"/>
      <c r="O3" s="160"/>
    </row>
    <row r="4" spans="1:34" s="164" customFormat="1" ht="30" customHeight="1">
      <c r="A4" s="162" t="s">
        <v>2</v>
      </c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3"/>
      <c r="M4" s="163"/>
      <c r="N4" s="163"/>
      <c r="O4" s="163"/>
    </row>
    <row r="5" spans="1:34" s="172" customFormat="1" ht="15" customHeight="1">
      <c r="A5" s="165"/>
      <c r="B5" s="166"/>
      <c r="C5" s="167"/>
      <c r="D5" s="167"/>
      <c r="E5" s="168"/>
      <c r="F5" s="168"/>
      <c r="G5" s="168"/>
      <c r="H5" s="168"/>
      <c r="I5" s="168"/>
      <c r="J5" s="169"/>
      <c r="K5" s="170"/>
      <c r="L5" s="171"/>
      <c r="M5" s="171"/>
      <c r="N5" s="171"/>
      <c r="O5" s="171"/>
    </row>
    <row r="6" spans="1:34" s="175" customFormat="1" ht="30" customHeight="1">
      <c r="A6" s="173" t="s">
        <v>3</v>
      </c>
      <c r="B6" s="174" t="s">
        <v>4</v>
      </c>
      <c r="C6" s="456" t="s">
        <v>5</v>
      </c>
      <c r="D6" s="457"/>
      <c r="E6" s="457"/>
      <c r="F6" s="457"/>
      <c r="G6" s="457"/>
      <c r="H6" s="457"/>
      <c r="I6" s="457"/>
      <c r="J6" s="451"/>
      <c r="K6" s="456" t="s">
        <v>6</v>
      </c>
      <c r="L6" s="457"/>
      <c r="M6" s="457"/>
      <c r="N6" s="457"/>
      <c r="O6" s="457"/>
      <c r="P6" s="457"/>
      <c r="Q6" s="457"/>
      <c r="R6" s="457"/>
      <c r="S6" s="457"/>
      <c r="T6" s="457"/>
      <c r="U6" s="457"/>
      <c r="V6" s="457"/>
      <c r="W6" s="457"/>
      <c r="X6" s="457"/>
      <c r="Y6" s="457"/>
      <c r="Z6" s="457"/>
      <c r="AA6" s="457"/>
      <c r="AB6" s="457"/>
      <c r="AC6" s="457"/>
      <c r="AD6" s="457"/>
      <c r="AE6" s="457"/>
      <c r="AF6" s="457"/>
      <c r="AG6" s="457"/>
      <c r="AH6" s="451"/>
    </row>
    <row r="7" spans="1:34" s="175" customFormat="1" ht="30" customHeight="1">
      <c r="A7" s="176" t="s">
        <v>7</v>
      </c>
      <c r="B7" s="177" t="s">
        <v>8</v>
      </c>
      <c r="C7" s="450" t="s">
        <v>9</v>
      </c>
      <c r="D7" s="451"/>
      <c r="E7" s="450" t="s">
        <v>10</v>
      </c>
      <c r="F7" s="451"/>
      <c r="G7" s="450" t="s">
        <v>11</v>
      </c>
      <c r="H7" s="451"/>
      <c r="I7" s="450" t="s">
        <v>12</v>
      </c>
      <c r="J7" s="451"/>
      <c r="K7" s="450" t="s">
        <v>13</v>
      </c>
      <c r="L7" s="451"/>
      <c r="M7" s="450" t="s">
        <v>14</v>
      </c>
      <c r="N7" s="451"/>
      <c r="O7" s="450" t="s">
        <v>15</v>
      </c>
      <c r="P7" s="451"/>
      <c r="Q7" s="450" t="s">
        <v>16</v>
      </c>
      <c r="R7" s="451"/>
      <c r="S7" s="450" t="s">
        <v>17</v>
      </c>
      <c r="T7" s="451"/>
      <c r="U7" s="450" t="s">
        <v>18</v>
      </c>
      <c r="V7" s="451"/>
      <c r="W7" s="450" t="s">
        <v>19</v>
      </c>
      <c r="X7" s="451"/>
      <c r="Y7" s="450" t="s">
        <v>20</v>
      </c>
      <c r="Z7" s="451"/>
      <c r="AA7" s="450" t="s">
        <v>9</v>
      </c>
      <c r="AB7" s="451"/>
      <c r="AC7" s="450" t="s">
        <v>10</v>
      </c>
      <c r="AD7" s="451"/>
      <c r="AE7" s="450" t="s">
        <v>11</v>
      </c>
      <c r="AF7" s="451"/>
      <c r="AG7" s="450" t="s">
        <v>12</v>
      </c>
      <c r="AH7" s="451"/>
    </row>
    <row r="8" spans="1:34" s="175" customFormat="1" ht="30" customHeight="1">
      <c r="A8" s="179" t="s">
        <v>21</v>
      </c>
      <c r="B8" s="180" t="s">
        <v>22</v>
      </c>
      <c r="C8" s="181" t="s">
        <v>23</v>
      </c>
      <c r="D8" s="181" t="s">
        <v>24</v>
      </c>
      <c r="E8" s="181" t="s">
        <v>23</v>
      </c>
      <c r="F8" s="181" t="s">
        <v>24</v>
      </c>
      <c r="G8" s="181" t="s">
        <v>23</v>
      </c>
      <c r="H8" s="181" t="s">
        <v>24</v>
      </c>
      <c r="I8" s="181" t="s">
        <v>23</v>
      </c>
      <c r="J8" s="181" t="s">
        <v>24</v>
      </c>
      <c r="K8" s="181" t="s">
        <v>23</v>
      </c>
      <c r="L8" s="181" t="s">
        <v>24</v>
      </c>
      <c r="M8" s="181" t="s">
        <v>23</v>
      </c>
      <c r="N8" s="181" t="s">
        <v>24</v>
      </c>
      <c r="O8" s="181" t="s">
        <v>23</v>
      </c>
      <c r="P8" s="181" t="s">
        <v>24</v>
      </c>
      <c r="Q8" s="181" t="s">
        <v>23</v>
      </c>
      <c r="R8" s="181" t="s">
        <v>24</v>
      </c>
      <c r="S8" s="181" t="s">
        <v>23</v>
      </c>
      <c r="T8" s="181" t="s">
        <v>24</v>
      </c>
      <c r="U8" s="181" t="s">
        <v>23</v>
      </c>
      <c r="V8" s="181" t="s">
        <v>24</v>
      </c>
      <c r="W8" s="181" t="s">
        <v>23</v>
      </c>
      <c r="X8" s="181" t="s">
        <v>24</v>
      </c>
      <c r="Y8" s="181" t="s">
        <v>23</v>
      </c>
      <c r="Z8" s="181" t="s">
        <v>24</v>
      </c>
      <c r="AA8" s="181" t="s">
        <v>23</v>
      </c>
      <c r="AB8" s="181" t="s">
        <v>24</v>
      </c>
      <c r="AC8" s="181" t="s">
        <v>23</v>
      </c>
      <c r="AD8" s="181" t="s">
        <v>24</v>
      </c>
      <c r="AE8" s="181" t="s">
        <v>23</v>
      </c>
      <c r="AF8" s="181" t="s">
        <v>24</v>
      </c>
      <c r="AG8" s="181" t="s">
        <v>23</v>
      </c>
      <c r="AH8" s="181" t="s">
        <v>24</v>
      </c>
    </row>
    <row r="9" spans="1:34" s="175" customFormat="1" ht="30" customHeight="1" collapsed="1">
      <c r="A9" s="181">
        <v>1</v>
      </c>
      <c r="B9" s="182" t="s">
        <v>25</v>
      </c>
      <c r="C9" s="183"/>
      <c r="D9" s="183"/>
      <c r="E9" s="183"/>
      <c r="F9" s="183"/>
      <c r="G9" s="183"/>
      <c r="H9" s="183"/>
      <c r="I9" s="183"/>
      <c r="J9" s="181">
        <f>SUM(J10:J18)</f>
        <v>176256000</v>
      </c>
      <c r="K9" s="183"/>
      <c r="L9" s="183"/>
      <c r="M9" s="183"/>
      <c r="N9" s="183"/>
      <c r="O9" s="183"/>
      <c r="P9" s="181">
        <f>SUM(P10:P18)</f>
        <v>220320000</v>
      </c>
      <c r="Q9" s="183"/>
      <c r="R9" s="183"/>
      <c r="S9" s="183"/>
      <c r="T9" s="183"/>
      <c r="U9" s="183"/>
      <c r="V9" s="183"/>
      <c r="W9" s="183"/>
      <c r="X9" s="183"/>
      <c r="Y9" s="184">
        <f>SUM(Y10:Y18)</f>
        <v>132192000</v>
      </c>
      <c r="Z9" s="183"/>
      <c r="AA9" s="184"/>
      <c r="AB9" s="183"/>
      <c r="AC9" s="184">
        <f>SUM(AC10:AC18)</f>
        <v>220320000</v>
      </c>
      <c r="AD9" s="183"/>
      <c r="AE9" s="183"/>
      <c r="AF9" s="183"/>
      <c r="AG9" s="184">
        <f>SUM(AG10:AG18)</f>
        <v>44064000</v>
      </c>
      <c r="AH9" s="183"/>
    </row>
    <row r="10" spans="1:34" s="175" customFormat="1" ht="30" hidden="1" customHeight="1" outlineLevel="1">
      <c r="A10" s="185">
        <v>1.1000000000000001</v>
      </c>
      <c r="B10" s="186" t="s">
        <v>26</v>
      </c>
      <c r="C10" s="187"/>
      <c r="D10" s="187"/>
      <c r="E10" s="188"/>
      <c r="F10" s="189"/>
      <c r="G10" s="190"/>
      <c r="H10" s="188"/>
      <c r="I10" s="190"/>
      <c r="J10" s="21">
        <f>BC_ThuChi_2026!H10</f>
        <v>176256000</v>
      </c>
      <c r="K10" s="191"/>
      <c r="L10" s="192"/>
      <c r="M10" s="192"/>
      <c r="N10" s="192"/>
      <c r="O10" s="192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3"/>
      <c r="AH10" s="193"/>
    </row>
    <row r="11" spans="1:34" s="175" customFormat="1" ht="30" hidden="1" customHeight="1" outlineLevel="1">
      <c r="A11" s="185">
        <v>1.2</v>
      </c>
      <c r="B11" s="186" t="s">
        <v>27</v>
      </c>
      <c r="C11" s="194"/>
      <c r="D11" s="194"/>
      <c r="E11" s="195"/>
      <c r="F11" s="196"/>
      <c r="G11" s="197"/>
      <c r="H11" s="195"/>
      <c r="I11" s="197"/>
      <c r="J11" s="195"/>
      <c r="K11" s="198"/>
      <c r="L11" s="199"/>
      <c r="M11" s="21"/>
      <c r="N11" s="199"/>
      <c r="O11" s="199"/>
      <c r="P11" s="21">
        <v>220320000</v>
      </c>
      <c r="Q11" s="200"/>
      <c r="R11" s="200"/>
      <c r="S11" s="200"/>
      <c r="T11" s="200"/>
      <c r="U11" s="200"/>
      <c r="V11" s="200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  <c r="AG11" s="200"/>
      <c r="AH11" s="200"/>
    </row>
    <row r="12" spans="1:34" s="175" customFormat="1" ht="30" hidden="1" customHeight="1" outlineLevel="1">
      <c r="A12" s="185">
        <v>1.3</v>
      </c>
      <c r="B12" s="186" t="s">
        <v>28</v>
      </c>
      <c r="C12" s="194"/>
      <c r="D12" s="194"/>
      <c r="E12" s="195"/>
      <c r="F12" s="196"/>
      <c r="G12" s="197"/>
      <c r="H12" s="195"/>
      <c r="I12" s="197"/>
      <c r="J12" s="195"/>
      <c r="K12" s="198"/>
      <c r="L12" s="199"/>
      <c r="M12" s="199"/>
      <c r="N12" s="199"/>
      <c r="O12" s="199"/>
      <c r="P12" s="200"/>
      <c r="Q12" s="200"/>
      <c r="R12" s="200"/>
      <c r="S12" s="200"/>
      <c r="T12" s="200"/>
      <c r="U12" s="200"/>
      <c r="V12" s="200"/>
      <c r="W12" s="200"/>
      <c r="X12" s="200"/>
      <c r="Y12" s="21">
        <f>BC_ThuChi_2026!J12</f>
        <v>44064000</v>
      </c>
      <c r="Z12" s="200"/>
      <c r="AA12" s="201"/>
      <c r="AB12" s="200"/>
      <c r="AC12" s="200"/>
      <c r="AD12" s="200"/>
      <c r="AE12" s="200"/>
      <c r="AF12" s="200"/>
      <c r="AG12" s="200"/>
      <c r="AH12" s="200"/>
    </row>
    <row r="13" spans="1:34" s="175" customFormat="1" ht="30" hidden="1" customHeight="1" outlineLevel="1">
      <c r="A13" s="185">
        <v>1.4</v>
      </c>
      <c r="B13" s="186" t="s">
        <v>29</v>
      </c>
      <c r="C13" s="194"/>
      <c r="D13" s="194"/>
      <c r="E13" s="195"/>
      <c r="F13" s="196"/>
      <c r="G13" s="197"/>
      <c r="H13" s="195"/>
      <c r="I13" s="197"/>
      <c r="J13" s="195"/>
      <c r="K13" s="198"/>
      <c r="L13" s="199"/>
      <c r="M13" s="199"/>
      <c r="N13" s="199"/>
      <c r="O13" s="199"/>
      <c r="P13" s="200"/>
      <c r="Q13" s="200"/>
      <c r="R13" s="200"/>
      <c r="S13" s="200"/>
      <c r="T13" s="200"/>
      <c r="U13" s="200"/>
      <c r="V13" s="200"/>
      <c r="W13" s="200"/>
      <c r="X13" s="200"/>
      <c r="Y13" s="21">
        <f>BC_ThuChi_2026!J13</f>
        <v>44064000</v>
      </c>
      <c r="Z13" s="200"/>
      <c r="AA13" s="201"/>
      <c r="AB13" s="200"/>
      <c r="AC13" s="200"/>
      <c r="AD13" s="200"/>
      <c r="AE13" s="200"/>
      <c r="AF13" s="200"/>
      <c r="AG13" s="200"/>
      <c r="AH13" s="200"/>
    </row>
    <row r="14" spans="1:34" s="175" customFormat="1" ht="30" hidden="1" customHeight="1" outlineLevel="1">
      <c r="A14" s="185">
        <v>1.5</v>
      </c>
      <c r="B14" s="186" t="s">
        <v>30</v>
      </c>
      <c r="C14" s="194"/>
      <c r="D14" s="194"/>
      <c r="E14" s="195"/>
      <c r="F14" s="196"/>
      <c r="G14" s="197"/>
      <c r="H14" s="195"/>
      <c r="I14" s="197"/>
      <c r="J14" s="195"/>
      <c r="K14" s="198"/>
      <c r="L14" s="199"/>
      <c r="M14" s="199"/>
      <c r="N14" s="199"/>
      <c r="O14" s="199"/>
      <c r="P14" s="200"/>
      <c r="Q14" s="200"/>
      <c r="R14" s="200"/>
      <c r="S14" s="200"/>
      <c r="T14" s="200"/>
      <c r="U14" s="200"/>
      <c r="V14" s="200"/>
      <c r="W14" s="200"/>
      <c r="X14" s="200"/>
      <c r="Y14" s="21">
        <f>BC_ThuChi_2026!J14</f>
        <v>44064000</v>
      </c>
      <c r="Z14" s="200"/>
      <c r="AA14" s="201"/>
      <c r="AB14" s="200"/>
      <c r="AC14" s="200"/>
      <c r="AD14" s="200"/>
      <c r="AE14" s="200"/>
      <c r="AF14" s="200"/>
      <c r="AG14" s="200"/>
      <c r="AH14" s="200"/>
    </row>
    <row r="15" spans="1:34" s="175" customFormat="1" ht="30" hidden="1" customHeight="1" outlineLevel="1">
      <c r="A15" s="185">
        <v>1.6</v>
      </c>
      <c r="B15" s="186" t="s">
        <v>31</v>
      </c>
      <c r="C15" s="194"/>
      <c r="D15" s="194"/>
      <c r="E15" s="195"/>
      <c r="F15" s="196"/>
      <c r="G15" s="197"/>
      <c r="H15" s="195"/>
      <c r="I15" s="197"/>
      <c r="J15" s="195"/>
      <c r="K15" s="198"/>
      <c r="L15" s="199"/>
      <c r="M15" s="199"/>
      <c r="N15" s="199"/>
      <c r="O15" s="199"/>
      <c r="P15" s="200"/>
      <c r="Q15" s="200"/>
      <c r="R15" s="200"/>
      <c r="S15" s="200"/>
      <c r="T15" s="200"/>
      <c r="U15" s="200"/>
      <c r="V15" s="200"/>
      <c r="W15" s="200"/>
      <c r="X15" s="200"/>
      <c r="Y15" s="201"/>
      <c r="Z15" s="200"/>
      <c r="AA15" s="200"/>
      <c r="AB15" s="200"/>
      <c r="AC15" s="21">
        <f>BC_ThuChi_2026!J15</f>
        <v>220320000</v>
      </c>
      <c r="AD15" s="200"/>
      <c r="AE15" s="200"/>
      <c r="AF15" s="200"/>
      <c r="AG15" s="200"/>
      <c r="AH15" s="200"/>
    </row>
    <row r="16" spans="1:34" s="175" customFormat="1" ht="30" hidden="1" customHeight="1" outlineLevel="1">
      <c r="A16" s="185">
        <v>1.7</v>
      </c>
      <c r="B16" s="186" t="s">
        <v>32</v>
      </c>
      <c r="C16" s="194"/>
      <c r="D16" s="194"/>
      <c r="E16" s="195"/>
      <c r="F16" s="196"/>
      <c r="G16" s="197"/>
      <c r="H16" s="195"/>
      <c r="I16" s="197"/>
      <c r="J16" s="195"/>
      <c r="K16" s="198"/>
      <c r="L16" s="199"/>
      <c r="M16" s="199"/>
      <c r="N16" s="199"/>
      <c r="O16" s="199"/>
      <c r="P16" s="200"/>
      <c r="Q16" s="200"/>
      <c r="R16" s="200"/>
      <c r="S16" s="200"/>
      <c r="T16" s="200"/>
      <c r="U16" s="200"/>
      <c r="V16" s="200"/>
      <c r="W16" s="200"/>
      <c r="X16" s="200"/>
      <c r="Y16" s="200"/>
      <c r="Z16" s="200"/>
      <c r="AA16" s="200"/>
      <c r="AB16" s="200"/>
      <c r="AC16" s="200"/>
      <c r="AD16" s="200"/>
      <c r="AE16" s="200"/>
      <c r="AF16" s="200"/>
      <c r="AG16" s="21">
        <f>BC_ThuChi_2026!J16</f>
        <v>44064000</v>
      </c>
      <c r="AH16" s="200"/>
    </row>
    <row r="17" spans="1:34" s="175" customFormat="1" ht="30" hidden="1" customHeight="1" outlineLevel="1">
      <c r="A17" s="185">
        <v>1.8</v>
      </c>
      <c r="B17" s="186" t="s">
        <v>33</v>
      </c>
      <c r="C17" s="194"/>
      <c r="D17" s="194"/>
      <c r="E17" s="195"/>
      <c r="F17" s="196"/>
      <c r="G17" s="197"/>
      <c r="H17" s="195"/>
      <c r="I17" s="197"/>
      <c r="J17" s="195"/>
      <c r="K17" s="198"/>
      <c r="L17" s="199"/>
      <c r="M17" s="199"/>
      <c r="N17" s="199"/>
      <c r="O17" s="199"/>
      <c r="P17" s="200"/>
      <c r="Q17" s="200"/>
      <c r="R17" s="200"/>
      <c r="S17" s="200"/>
      <c r="T17" s="200"/>
      <c r="U17" s="200"/>
      <c r="V17" s="200"/>
      <c r="W17" s="200"/>
      <c r="X17" s="200"/>
      <c r="Y17" s="200"/>
      <c r="Z17" s="200"/>
      <c r="AA17" s="200"/>
      <c r="AB17" s="200"/>
      <c r="AC17" s="200"/>
      <c r="AD17" s="200"/>
      <c r="AE17" s="200"/>
      <c r="AF17" s="200"/>
      <c r="AG17" s="200"/>
      <c r="AH17" s="200"/>
    </row>
    <row r="18" spans="1:34" s="175" customFormat="1" ht="30" hidden="1" customHeight="1" outlineLevel="1">
      <c r="A18" s="185">
        <v>1.9</v>
      </c>
      <c r="B18" s="186" t="s">
        <v>34</v>
      </c>
      <c r="C18" s="202"/>
      <c r="D18" s="202"/>
      <c r="E18" s="203"/>
      <c r="F18" s="204"/>
      <c r="G18" s="205"/>
      <c r="H18" s="203"/>
      <c r="I18" s="205"/>
      <c r="J18" s="203"/>
      <c r="K18" s="206"/>
      <c r="L18" s="207"/>
      <c r="M18" s="207"/>
      <c r="N18" s="207"/>
      <c r="O18" s="207"/>
      <c r="P18" s="208"/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208"/>
      <c r="AD18" s="208"/>
      <c r="AE18" s="208"/>
      <c r="AF18" s="208"/>
      <c r="AG18" s="208"/>
      <c r="AH18" s="208"/>
    </row>
    <row r="19" spans="1:34" s="175" customFormat="1" ht="30" customHeight="1" collapsed="1">
      <c r="A19" s="209">
        <v>2</v>
      </c>
      <c r="B19" s="210" t="s">
        <v>35</v>
      </c>
      <c r="C19" s="183"/>
      <c r="D19" s="183"/>
      <c r="E19" s="183"/>
      <c r="F19" s="183"/>
      <c r="G19" s="183"/>
      <c r="H19" s="183"/>
      <c r="I19" s="211"/>
      <c r="J19" s="211"/>
      <c r="K19" s="211"/>
      <c r="L19" s="211"/>
      <c r="M19" s="211"/>
      <c r="N19" s="212">
        <f>N20</f>
        <v>639770400</v>
      </c>
      <c r="O19" s="211"/>
      <c r="P19" s="212">
        <f>SUM(P20:P31)</f>
        <v>639770400</v>
      </c>
      <c r="Q19" s="211"/>
      <c r="R19" s="211"/>
      <c r="S19" s="211"/>
      <c r="T19" s="212">
        <f>SUM(T20:T31)</f>
        <v>319885200</v>
      </c>
      <c r="U19" s="211"/>
      <c r="V19" s="211"/>
      <c r="W19" s="213"/>
      <c r="X19" s="212">
        <f>SUM(X20:X31)</f>
        <v>639770400</v>
      </c>
      <c r="Y19" s="214"/>
      <c r="Z19" s="211"/>
      <c r="AA19" s="214">
        <f>SUM(AA20:AA31)</f>
        <v>1599426000</v>
      </c>
      <c r="AB19" s="211"/>
      <c r="AC19" s="214">
        <f>SUM(AC20:AC31)</f>
        <v>639770400</v>
      </c>
      <c r="AD19" s="211"/>
      <c r="AE19" s="214">
        <f>SUM(AE20:AE31)</f>
        <v>319885200</v>
      </c>
      <c r="AF19" s="211"/>
      <c r="AG19" s="214">
        <f>SUM(AG20:AG31)</f>
        <v>319885200</v>
      </c>
      <c r="AH19" s="211"/>
    </row>
    <row r="20" spans="1:34" s="175" customFormat="1" ht="30" hidden="1" customHeight="1" outlineLevel="1">
      <c r="A20" s="185">
        <v>2.1</v>
      </c>
      <c r="B20" s="215" t="s">
        <v>36</v>
      </c>
      <c r="C20" s="187"/>
      <c r="D20" s="187"/>
      <c r="E20" s="188"/>
      <c r="F20" s="189"/>
      <c r="G20" s="190"/>
      <c r="H20" s="188"/>
      <c r="I20" s="190"/>
      <c r="J20" s="188"/>
      <c r="K20" s="191"/>
      <c r="L20" s="192"/>
      <c r="M20" s="192"/>
      <c r="N20" s="216">
        <f>BC_ThuChi_2026!H21</f>
        <v>639770400</v>
      </c>
      <c r="O20" s="192"/>
      <c r="P20" s="193"/>
      <c r="Q20" s="193"/>
      <c r="R20" s="193"/>
      <c r="S20" s="193"/>
      <c r="T20" s="220"/>
      <c r="U20" s="193"/>
      <c r="V20" s="193"/>
      <c r="X20" s="393"/>
      <c r="Y20" s="193"/>
      <c r="Z20" s="193"/>
      <c r="AA20" s="193"/>
      <c r="AB20" s="193"/>
      <c r="AC20" s="193"/>
      <c r="AD20" s="193"/>
      <c r="AE20" s="193"/>
      <c r="AF20" s="193"/>
      <c r="AG20" s="193"/>
      <c r="AH20" s="193"/>
    </row>
    <row r="21" spans="1:34" s="175" customFormat="1" ht="30" hidden="1" customHeight="1" outlineLevel="1">
      <c r="A21" s="185">
        <v>2.2000000000000002</v>
      </c>
      <c r="B21" s="215" t="s">
        <v>37</v>
      </c>
      <c r="C21" s="194"/>
      <c r="D21" s="194"/>
      <c r="E21" s="195"/>
      <c r="F21" s="196"/>
      <c r="G21" s="197"/>
      <c r="H21" s="195"/>
      <c r="I21" s="197"/>
      <c r="J21" s="195"/>
      <c r="K21" s="198"/>
      <c r="L21" s="199"/>
      <c r="M21" s="199"/>
      <c r="N21" s="217"/>
      <c r="O21" s="199"/>
      <c r="P21" s="21">
        <f>BC_ThuChi_2026!H22</f>
        <v>639770400</v>
      </c>
      <c r="Q21" s="200"/>
      <c r="R21" s="200"/>
      <c r="S21" s="200"/>
      <c r="T21" s="21"/>
      <c r="U21" s="200"/>
      <c r="V21" s="20"/>
      <c r="W21" s="20"/>
      <c r="X21" s="21"/>
      <c r="Y21" s="20"/>
      <c r="Z21" s="20"/>
      <c r="AA21" s="20"/>
      <c r="AB21" s="20"/>
      <c r="AC21" s="20"/>
      <c r="AD21" s="20"/>
      <c r="AE21" s="200"/>
      <c r="AF21" s="200"/>
      <c r="AG21" s="200"/>
      <c r="AH21" s="200"/>
    </row>
    <row r="22" spans="1:34" s="175" customFormat="1" ht="30" hidden="1" customHeight="1" outlineLevel="1">
      <c r="A22" s="185">
        <v>2.2999999999999998</v>
      </c>
      <c r="B22" s="215" t="s">
        <v>38</v>
      </c>
      <c r="C22" s="194"/>
      <c r="D22" s="194"/>
      <c r="E22" s="195"/>
      <c r="F22" s="196"/>
      <c r="G22" s="197"/>
      <c r="H22" s="195"/>
      <c r="I22" s="197"/>
      <c r="J22" s="195"/>
      <c r="K22" s="198"/>
      <c r="L22" s="199"/>
      <c r="M22" s="199"/>
      <c r="N22" s="199"/>
      <c r="O22" s="199"/>
      <c r="P22" s="200"/>
      <c r="Q22" s="200"/>
      <c r="R22" s="200"/>
      <c r="S22" s="200"/>
      <c r="T22" s="21">
        <f>BC_ThuChi_2026!H23</f>
        <v>319885200</v>
      </c>
      <c r="U22" s="200"/>
      <c r="V22" s="20"/>
      <c r="W22" s="21"/>
      <c r="X22" s="21"/>
      <c r="Y22" s="20"/>
      <c r="Z22" s="20"/>
      <c r="AA22" s="20"/>
      <c r="AB22" s="20"/>
      <c r="AC22" s="20"/>
      <c r="AD22" s="20"/>
      <c r="AE22" s="200"/>
      <c r="AF22" s="200"/>
      <c r="AG22" s="200"/>
      <c r="AH22" s="200"/>
    </row>
    <row r="23" spans="1:34" s="175" customFormat="1" ht="40.200000000000003" hidden="1" customHeight="1" outlineLevel="1">
      <c r="A23" s="185">
        <v>2.4</v>
      </c>
      <c r="B23" s="215" t="s">
        <v>39</v>
      </c>
      <c r="C23" s="194"/>
      <c r="D23" s="194"/>
      <c r="E23" s="195"/>
      <c r="F23" s="196"/>
      <c r="G23" s="197"/>
      <c r="H23" s="195"/>
      <c r="I23" s="197"/>
      <c r="J23" s="195"/>
      <c r="K23" s="198"/>
      <c r="L23" s="199"/>
      <c r="M23" s="199"/>
      <c r="N23" s="199"/>
      <c r="O23" s="199"/>
      <c r="P23" s="200"/>
      <c r="Q23" s="200"/>
      <c r="R23" s="200"/>
      <c r="S23" s="200"/>
      <c r="T23" s="21"/>
      <c r="U23" s="200"/>
      <c r="V23" s="20"/>
      <c r="W23" s="21"/>
      <c r="X23" s="21">
        <f>BC_ThuChi_2026!H24</f>
        <v>639770400</v>
      </c>
      <c r="Y23" s="21" t="str">
        <f>BC_ThuChi_2026!J23</f>
        <v>-</v>
      </c>
      <c r="Z23" s="20"/>
      <c r="AA23" s="20"/>
      <c r="AB23" s="20"/>
      <c r="AC23" s="20"/>
      <c r="AD23" s="20"/>
      <c r="AE23" s="200"/>
      <c r="AF23" s="200"/>
      <c r="AG23" s="200"/>
      <c r="AH23" s="200"/>
    </row>
    <row r="24" spans="1:34" s="175" customFormat="1" ht="30" hidden="1" customHeight="1" outlineLevel="1">
      <c r="A24" s="185">
        <v>2.5</v>
      </c>
      <c r="B24" s="215" t="s">
        <v>40</v>
      </c>
      <c r="C24" s="194"/>
      <c r="D24" s="194"/>
      <c r="E24" s="195"/>
      <c r="F24" s="196"/>
      <c r="G24" s="197"/>
      <c r="H24" s="195"/>
      <c r="I24" s="197"/>
      <c r="J24" s="195"/>
      <c r="K24" s="198"/>
      <c r="L24" s="199"/>
      <c r="M24" s="199"/>
      <c r="N24" s="199"/>
      <c r="O24" s="199"/>
      <c r="P24" s="201"/>
      <c r="Q24" s="200"/>
      <c r="R24" s="200"/>
      <c r="S24" s="200"/>
      <c r="T24" s="21"/>
      <c r="U24" s="200"/>
      <c r="V24" s="20"/>
      <c r="W24" s="21"/>
      <c r="X24" s="21"/>
      <c r="Y24" s="20"/>
      <c r="Z24" s="20"/>
      <c r="AA24" s="394">
        <f>BC_ThuChi_2026!J25</f>
        <v>639770400</v>
      </c>
      <c r="AB24" s="20"/>
      <c r="AC24" s="21" t="str">
        <f>BC_ThuChi_2026!J24</f>
        <v>-</v>
      </c>
      <c r="AD24" s="20"/>
      <c r="AE24" s="200"/>
      <c r="AF24" s="200"/>
      <c r="AG24" s="200"/>
      <c r="AH24" s="200"/>
    </row>
    <row r="25" spans="1:34" s="175" customFormat="1" ht="30" hidden="1" customHeight="1" outlineLevel="1">
      <c r="A25" s="185">
        <v>2.6</v>
      </c>
      <c r="B25" s="215" t="s">
        <v>41</v>
      </c>
      <c r="C25" s="194"/>
      <c r="D25" s="194"/>
      <c r="E25" s="195"/>
      <c r="F25" s="196"/>
      <c r="G25" s="197"/>
      <c r="H25" s="195"/>
      <c r="I25" s="197"/>
      <c r="J25" s="195"/>
      <c r="K25" s="198"/>
      <c r="L25" s="199"/>
      <c r="M25" s="199"/>
      <c r="N25" s="199"/>
      <c r="O25" s="199"/>
      <c r="P25" s="200"/>
      <c r="Q25" s="200"/>
      <c r="R25" s="200"/>
      <c r="S25" s="200"/>
      <c r="T25" s="21"/>
      <c r="U25" s="200"/>
      <c r="V25" s="20"/>
      <c r="W25" s="20"/>
      <c r="X25" s="21"/>
      <c r="Y25" s="20"/>
      <c r="Z25" s="20"/>
      <c r="AA25" s="394">
        <f>BC_ThuChi_2026!J26</f>
        <v>639770400</v>
      </c>
      <c r="AB25" s="20"/>
      <c r="AC25" s="21"/>
      <c r="AD25" s="20"/>
      <c r="AE25" s="200"/>
      <c r="AF25" s="200"/>
      <c r="AG25" s="21"/>
      <c r="AH25" s="200"/>
    </row>
    <row r="26" spans="1:34" s="175" customFormat="1" ht="30" hidden="1" customHeight="1" outlineLevel="1">
      <c r="A26" s="185">
        <v>2.7</v>
      </c>
      <c r="B26" s="215" t="s">
        <v>42</v>
      </c>
      <c r="C26" s="194"/>
      <c r="D26" s="194"/>
      <c r="E26" s="195"/>
      <c r="F26" s="196"/>
      <c r="G26" s="197"/>
      <c r="H26" s="195"/>
      <c r="I26" s="197"/>
      <c r="J26" s="195"/>
      <c r="K26" s="198"/>
      <c r="L26" s="199"/>
      <c r="M26" s="199"/>
      <c r="N26" s="199"/>
      <c r="O26" s="199"/>
      <c r="P26" s="200"/>
      <c r="Q26" s="200"/>
      <c r="R26" s="200"/>
      <c r="S26" s="200"/>
      <c r="T26" s="21"/>
      <c r="U26" s="200"/>
      <c r="V26" s="20"/>
      <c r="W26" s="20"/>
      <c r="X26" s="21"/>
      <c r="Y26" s="20"/>
      <c r="Z26" s="20"/>
      <c r="AA26" s="394">
        <f>BC_ThuChi_2026!J27</f>
        <v>319885200</v>
      </c>
      <c r="AB26" s="20"/>
      <c r="AC26" s="20"/>
      <c r="AD26" s="20"/>
      <c r="AE26" s="21"/>
      <c r="AF26" s="200"/>
      <c r="AG26" s="200"/>
      <c r="AH26" s="200"/>
    </row>
    <row r="27" spans="1:34" s="175" customFormat="1" ht="30" hidden="1" customHeight="1" outlineLevel="1">
      <c r="A27" s="185">
        <v>2.8</v>
      </c>
      <c r="B27" s="215" t="s">
        <v>43</v>
      </c>
      <c r="C27" s="194"/>
      <c r="D27" s="194"/>
      <c r="E27" s="195"/>
      <c r="F27" s="196"/>
      <c r="G27" s="197"/>
      <c r="H27" s="195"/>
      <c r="I27" s="197"/>
      <c r="J27" s="195"/>
      <c r="K27" s="198"/>
      <c r="L27" s="199"/>
      <c r="M27" s="199"/>
      <c r="N27" s="199"/>
      <c r="O27" s="199"/>
      <c r="P27" s="200"/>
      <c r="Q27" s="200"/>
      <c r="R27" s="200"/>
      <c r="S27" s="200"/>
      <c r="T27" s="21"/>
      <c r="U27" s="200"/>
      <c r="V27" s="200"/>
      <c r="W27" s="200"/>
      <c r="X27" s="201"/>
      <c r="Y27" s="200"/>
      <c r="Z27" s="200"/>
      <c r="AA27" s="200"/>
      <c r="AB27" s="200"/>
      <c r="AC27" s="394">
        <f>BC_ThuChi_2026!J28</f>
        <v>639770400</v>
      </c>
      <c r="AD27" s="200"/>
      <c r="AE27" s="200"/>
      <c r="AF27" s="200"/>
      <c r="AG27" s="21"/>
      <c r="AH27" s="200"/>
    </row>
    <row r="28" spans="1:34" s="175" customFormat="1" ht="30" hidden="1" customHeight="1" outlineLevel="1">
      <c r="A28" s="185">
        <v>2.9</v>
      </c>
      <c r="B28" s="215" t="s">
        <v>44</v>
      </c>
      <c r="C28" s="194"/>
      <c r="D28" s="194"/>
      <c r="E28" s="195"/>
      <c r="F28" s="196"/>
      <c r="G28" s="197"/>
      <c r="H28" s="195"/>
      <c r="I28" s="197"/>
      <c r="J28" s="195"/>
      <c r="K28" s="198"/>
      <c r="L28" s="199"/>
      <c r="M28" s="199"/>
      <c r="N28" s="199"/>
      <c r="O28" s="199"/>
      <c r="P28" s="200"/>
      <c r="Q28" s="200"/>
      <c r="R28" s="200"/>
      <c r="S28" s="200"/>
      <c r="T28" s="21"/>
      <c r="U28" s="200"/>
      <c r="V28" s="200"/>
      <c r="W28" s="200"/>
      <c r="X28" s="201"/>
      <c r="Y28" s="200"/>
      <c r="Z28" s="200"/>
      <c r="AA28" s="200"/>
      <c r="AB28" s="200"/>
      <c r="AC28" s="200"/>
      <c r="AD28" s="200"/>
      <c r="AE28" s="394">
        <f>BC_ThuChi_2026!J29</f>
        <v>319885200</v>
      </c>
      <c r="AF28" s="200"/>
      <c r="AG28" s="200"/>
      <c r="AH28" s="200"/>
    </row>
    <row r="29" spans="1:34" s="175" customFormat="1" ht="30" hidden="1" customHeight="1" outlineLevel="1">
      <c r="A29" s="218">
        <v>2.1</v>
      </c>
      <c r="B29" s="215" t="s">
        <v>45</v>
      </c>
      <c r="C29" s="194"/>
      <c r="D29" s="194"/>
      <c r="E29" s="195"/>
      <c r="F29" s="196"/>
      <c r="G29" s="197"/>
      <c r="H29" s="195"/>
      <c r="I29" s="197"/>
      <c r="J29" s="195"/>
      <c r="K29" s="198"/>
      <c r="L29" s="199"/>
      <c r="M29" s="199"/>
      <c r="N29" s="199"/>
      <c r="O29" s="199"/>
      <c r="P29" s="200"/>
      <c r="Q29" s="200"/>
      <c r="R29" s="200"/>
      <c r="S29" s="200"/>
      <c r="T29" s="21"/>
      <c r="U29" s="200"/>
      <c r="V29" s="200"/>
      <c r="W29" s="200"/>
      <c r="X29" s="201"/>
      <c r="Y29" s="200"/>
      <c r="Z29" s="200"/>
      <c r="AA29" s="200"/>
      <c r="AB29" s="200"/>
      <c r="AC29" s="200"/>
      <c r="AD29" s="200"/>
      <c r="AE29" s="200"/>
      <c r="AF29" s="200"/>
      <c r="AG29" s="394">
        <f>BC_ThuChi_2026!J30</f>
        <v>319885200</v>
      </c>
      <c r="AH29" s="200"/>
    </row>
    <row r="30" spans="1:34" s="175" customFormat="1" ht="30" hidden="1" customHeight="1" outlineLevel="1">
      <c r="A30" s="218">
        <v>2.11</v>
      </c>
      <c r="B30" s="215" t="s">
        <v>46</v>
      </c>
      <c r="C30" s="194"/>
      <c r="D30" s="194"/>
      <c r="E30" s="195"/>
      <c r="F30" s="196"/>
      <c r="G30" s="197"/>
      <c r="H30" s="195"/>
      <c r="I30" s="197"/>
      <c r="J30" s="195"/>
      <c r="K30" s="198"/>
      <c r="L30" s="199"/>
      <c r="M30" s="199"/>
      <c r="N30" s="199"/>
      <c r="O30" s="199"/>
      <c r="P30" s="200"/>
      <c r="Q30" s="200"/>
      <c r="R30" s="200"/>
      <c r="S30" s="200"/>
      <c r="T30" s="21"/>
      <c r="U30" s="200"/>
      <c r="V30" s="200"/>
      <c r="W30" s="200"/>
      <c r="X30" s="201"/>
      <c r="Y30" s="200"/>
      <c r="Z30" s="200"/>
      <c r="AA30" s="200"/>
      <c r="AB30" s="200"/>
      <c r="AC30" s="200"/>
      <c r="AD30" s="200"/>
      <c r="AE30" s="200"/>
      <c r="AF30" s="200"/>
      <c r="AG30" s="200"/>
      <c r="AH30" s="200"/>
    </row>
    <row r="31" spans="1:34" s="175" customFormat="1" ht="30" hidden="1" customHeight="1" outlineLevel="1">
      <c r="A31" s="218">
        <v>2.12</v>
      </c>
      <c r="B31" s="215" t="s">
        <v>47</v>
      </c>
      <c r="C31" s="202"/>
      <c r="D31" s="202"/>
      <c r="E31" s="203"/>
      <c r="F31" s="204"/>
      <c r="G31" s="205"/>
      <c r="H31" s="203"/>
      <c r="I31" s="205"/>
      <c r="J31" s="203"/>
      <c r="K31" s="206"/>
      <c r="L31" s="207"/>
      <c r="M31" s="207"/>
      <c r="N31" s="207"/>
      <c r="O31" s="207"/>
      <c r="P31" s="208"/>
      <c r="Q31" s="208"/>
      <c r="R31" s="208"/>
      <c r="S31" s="208"/>
      <c r="T31" s="224"/>
      <c r="U31" s="208"/>
      <c r="V31" s="208"/>
      <c r="W31" s="208"/>
      <c r="X31" s="223"/>
      <c r="Y31" s="208"/>
      <c r="Z31" s="208"/>
      <c r="AA31" s="208"/>
      <c r="AB31" s="208"/>
      <c r="AC31" s="208"/>
      <c r="AD31" s="208"/>
      <c r="AE31" s="208"/>
      <c r="AF31" s="208"/>
      <c r="AG31" s="208"/>
      <c r="AH31" s="208"/>
    </row>
    <row r="32" spans="1:34" s="175" customFormat="1" ht="30" customHeight="1" collapsed="1">
      <c r="A32" s="181">
        <v>3</v>
      </c>
      <c r="B32" s="182" t="s">
        <v>48</v>
      </c>
      <c r="C32" s="183"/>
      <c r="D32" s="183"/>
      <c r="E32" s="183"/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1"/>
      <c r="R32" s="212">
        <f>SUM(R33:R43)</f>
        <v>205465000</v>
      </c>
      <c r="S32" s="183"/>
      <c r="T32" s="183"/>
      <c r="U32" s="184"/>
      <c r="V32" s="181"/>
      <c r="W32" s="181"/>
      <c r="X32" s="181"/>
      <c r="Y32" s="184"/>
      <c r="Z32" s="181"/>
      <c r="AA32" s="184">
        <f>SUM(AA33:AA43)</f>
        <v>199711980</v>
      </c>
      <c r="AB32" s="183"/>
      <c r="AC32" s="184">
        <f>SUM(AC33:AC43)</f>
        <v>199711980</v>
      </c>
      <c r="AD32" s="183"/>
      <c r="AE32" s="184">
        <f>SUM(AE33:AE43)</f>
        <v>199711980</v>
      </c>
      <c r="AF32" s="183"/>
      <c r="AG32" s="184">
        <f>SUM(AG33:AG43)</f>
        <v>299567970</v>
      </c>
      <c r="AH32" s="183"/>
    </row>
    <row r="33" spans="1:34" s="175" customFormat="1" ht="30" hidden="1" customHeight="1" outlineLevel="1">
      <c r="A33" s="185">
        <v>3.1</v>
      </c>
      <c r="B33" s="215" t="s">
        <v>49</v>
      </c>
      <c r="C33" s="187"/>
      <c r="D33" s="187"/>
      <c r="E33" s="188"/>
      <c r="F33" s="189"/>
      <c r="G33" s="190"/>
      <c r="H33" s="188"/>
      <c r="I33" s="190"/>
      <c r="J33" s="188"/>
      <c r="K33" s="219"/>
      <c r="L33" s="192"/>
      <c r="M33" s="192"/>
      <c r="N33" s="192"/>
      <c r="O33" s="192"/>
      <c r="P33" s="193"/>
      <c r="Q33" s="220"/>
      <c r="R33" s="220">
        <f>BC_ThuChi_2026!H35</f>
        <v>205465000</v>
      </c>
      <c r="S33" s="193"/>
      <c r="T33" s="150"/>
      <c r="U33" s="150"/>
      <c r="V33" s="150"/>
      <c r="W33" s="150"/>
      <c r="X33" s="150"/>
      <c r="Y33" s="150"/>
      <c r="Z33" s="220"/>
      <c r="AA33" s="395"/>
      <c r="AB33" s="220"/>
      <c r="AC33" s="395"/>
      <c r="AD33" s="220"/>
      <c r="AE33" s="395"/>
      <c r="AF33" s="220"/>
      <c r="AG33" s="395"/>
      <c r="AH33" s="193"/>
    </row>
    <row r="34" spans="1:34" s="175" customFormat="1" ht="30" hidden="1" customHeight="1" outlineLevel="1">
      <c r="A34" s="185">
        <v>3.2</v>
      </c>
      <c r="B34" s="215" t="s">
        <v>38</v>
      </c>
      <c r="C34" s="194"/>
      <c r="D34" s="194"/>
      <c r="E34" s="195"/>
      <c r="F34" s="196"/>
      <c r="G34" s="197"/>
      <c r="H34" s="195"/>
      <c r="I34" s="197"/>
      <c r="J34" s="195"/>
      <c r="K34" s="221"/>
      <c r="L34" s="199"/>
      <c r="M34" s="199"/>
      <c r="N34" s="199"/>
      <c r="O34" s="199"/>
      <c r="P34" s="200"/>
      <c r="Q34" s="200"/>
      <c r="R34" s="201"/>
      <c r="S34" s="200"/>
      <c r="T34" s="21">
        <f>BC_ThuChi_2026!H36</f>
        <v>201355700</v>
      </c>
      <c r="U34" s="21"/>
      <c r="V34" s="20"/>
      <c r="W34" s="20"/>
      <c r="X34" s="20"/>
      <c r="Y34" s="20"/>
      <c r="Z34" s="21"/>
      <c r="AA34" s="394"/>
      <c r="AB34" s="21"/>
      <c r="AC34" s="394"/>
      <c r="AD34" s="21"/>
      <c r="AE34" s="394"/>
      <c r="AF34" s="21"/>
      <c r="AG34" s="394"/>
      <c r="AH34" s="200"/>
    </row>
    <row r="35" spans="1:34" s="175" customFormat="1" ht="40.049999999999997" hidden="1" customHeight="1" outlineLevel="1">
      <c r="A35" s="185">
        <v>3.3</v>
      </c>
      <c r="B35" s="215" t="s">
        <v>39</v>
      </c>
      <c r="C35" s="194"/>
      <c r="D35" s="194"/>
      <c r="E35" s="195"/>
      <c r="F35" s="196"/>
      <c r="G35" s="197"/>
      <c r="H35" s="195"/>
      <c r="I35" s="197"/>
      <c r="J35" s="195"/>
      <c r="K35" s="221"/>
      <c r="L35" s="199"/>
      <c r="M35" s="199"/>
      <c r="N35" s="199"/>
      <c r="O35" s="199"/>
      <c r="P35" s="200"/>
      <c r="Q35" s="201"/>
      <c r="R35" s="201"/>
      <c r="S35" s="200"/>
      <c r="T35" s="20"/>
      <c r="U35" s="20"/>
      <c r="V35" s="20"/>
      <c r="W35" s="20"/>
      <c r="X35" s="20"/>
      <c r="Y35" s="21"/>
      <c r="Z35" s="21"/>
      <c r="AA35" s="394">
        <f>BC_ThuChi_2026!J37</f>
        <v>199711980</v>
      </c>
      <c r="AB35" s="21"/>
      <c r="AC35" s="394"/>
      <c r="AD35" s="21"/>
      <c r="AE35" s="394"/>
      <c r="AF35" s="21"/>
      <c r="AG35" s="394"/>
      <c r="AH35" s="200"/>
    </row>
    <row r="36" spans="1:34" s="175" customFormat="1" ht="40.049999999999997" hidden="1" customHeight="1" outlineLevel="1">
      <c r="A36" s="185">
        <v>3.4</v>
      </c>
      <c r="B36" s="215" t="s">
        <v>40</v>
      </c>
      <c r="C36" s="194"/>
      <c r="D36" s="194"/>
      <c r="E36" s="195"/>
      <c r="F36" s="196"/>
      <c r="G36" s="197"/>
      <c r="H36" s="195"/>
      <c r="I36" s="197"/>
      <c r="J36" s="195"/>
      <c r="K36" s="221"/>
      <c r="L36" s="199"/>
      <c r="M36" s="199"/>
      <c r="N36" s="199"/>
      <c r="O36" s="199"/>
      <c r="P36" s="200"/>
      <c r="Q36" s="201"/>
      <c r="R36" s="201"/>
      <c r="S36" s="200"/>
      <c r="T36" s="20"/>
      <c r="U36" s="20"/>
      <c r="V36" s="20"/>
      <c r="W36" s="20"/>
      <c r="X36" s="20"/>
      <c r="Y36" s="20"/>
      <c r="Z36" s="21"/>
      <c r="AA36" s="394"/>
      <c r="AB36" s="21"/>
      <c r="AC36" s="394">
        <f>BC_ThuChi_2026!J38</f>
        <v>199711980</v>
      </c>
      <c r="AD36" s="21"/>
      <c r="AE36" s="394"/>
      <c r="AF36" s="21"/>
      <c r="AG36" s="394"/>
      <c r="AH36" s="200"/>
    </row>
    <row r="37" spans="1:34" s="175" customFormat="1" ht="30" hidden="1" customHeight="1" outlineLevel="1">
      <c r="A37" s="185">
        <v>3.5</v>
      </c>
      <c r="B37" s="215" t="s">
        <v>42</v>
      </c>
      <c r="C37" s="194"/>
      <c r="D37" s="194"/>
      <c r="E37" s="195"/>
      <c r="F37" s="196"/>
      <c r="G37" s="197"/>
      <c r="H37" s="195"/>
      <c r="I37" s="197"/>
      <c r="J37" s="195"/>
      <c r="K37" s="221"/>
      <c r="L37" s="199"/>
      <c r="M37" s="199"/>
      <c r="N37" s="199"/>
      <c r="O37" s="199"/>
      <c r="P37" s="200"/>
      <c r="Q37" s="200"/>
      <c r="R37" s="201"/>
      <c r="S37" s="200"/>
      <c r="T37" s="20"/>
      <c r="U37" s="20"/>
      <c r="V37" s="20"/>
      <c r="W37" s="20"/>
      <c r="X37" s="20"/>
      <c r="Y37" s="20"/>
      <c r="Z37" s="21"/>
      <c r="AA37" s="394"/>
      <c r="AB37" s="21"/>
      <c r="AC37" s="394"/>
      <c r="AD37" s="21"/>
      <c r="AE37" s="394">
        <f>BC_ThuChi_2026!J39</f>
        <v>199711980</v>
      </c>
      <c r="AF37" s="21"/>
      <c r="AG37" s="394"/>
      <c r="AH37" s="200"/>
    </row>
    <row r="38" spans="1:34" s="175" customFormat="1" ht="40.049999999999997" hidden="1" customHeight="1" outlineLevel="1">
      <c r="A38" s="185">
        <v>3.6</v>
      </c>
      <c r="B38" s="215" t="s">
        <v>41</v>
      </c>
      <c r="C38" s="194"/>
      <c r="D38" s="194"/>
      <c r="E38" s="195"/>
      <c r="F38" s="196"/>
      <c r="G38" s="197"/>
      <c r="H38" s="195"/>
      <c r="I38" s="197"/>
      <c r="J38" s="195"/>
      <c r="K38" s="221"/>
      <c r="L38" s="199"/>
      <c r="M38" s="199"/>
      <c r="N38" s="199"/>
      <c r="O38" s="199"/>
      <c r="P38" s="200"/>
      <c r="Q38" s="200"/>
      <c r="R38" s="201"/>
      <c r="S38" s="200"/>
      <c r="T38" s="200"/>
      <c r="U38" s="200"/>
      <c r="V38" s="200"/>
      <c r="W38" s="200"/>
      <c r="X38" s="200"/>
      <c r="Y38" s="200"/>
      <c r="Z38" s="21"/>
      <c r="AA38" s="394"/>
      <c r="AB38" s="21"/>
      <c r="AC38" s="394"/>
      <c r="AD38" s="21"/>
      <c r="AE38" s="394"/>
      <c r="AF38" s="21"/>
      <c r="AG38" s="394">
        <f>BC_ThuChi_2026!J40</f>
        <v>299567970</v>
      </c>
      <c r="AH38" s="200"/>
    </row>
    <row r="39" spans="1:34" s="175" customFormat="1" ht="30" hidden="1" customHeight="1" outlineLevel="1">
      <c r="A39" s="185">
        <v>3.7</v>
      </c>
      <c r="B39" s="215" t="s">
        <v>43</v>
      </c>
      <c r="C39" s="194"/>
      <c r="D39" s="194"/>
      <c r="E39" s="195"/>
      <c r="F39" s="196"/>
      <c r="G39" s="197"/>
      <c r="H39" s="195"/>
      <c r="I39" s="197"/>
      <c r="J39" s="195"/>
      <c r="K39" s="221"/>
      <c r="L39" s="199"/>
      <c r="M39" s="199"/>
      <c r="N39" s="199"/>
      <c r="O39" s="199"/>
      <c r="P39" s="200"/>
      <c r="Q39" s="200"/>
      <c r="R39" s="201"/>
      <c r="S39" s="200"/>
      <c r="T39" s="200"/>
      <c r="U39" s="200"/>
      <c r="V39" s="200"/>
      <c r="W39" s="200"/>
      <c r="X39" s="200"/>
      <c r="Y39" s="200"/>
      <c r="Z39" s="21"/>
      <c r="AA39" s="394"/>
      <c r="AB39" s="21"/>
      <c r="AC39" s="394"/>
      <c r="AD39" s="21"/>
      <c r="AE39" s="394"/>
      <c r="AF39" s="21"/>
      <c r="AG39" s="394"/>
      <c r="AH39" s="200"/>
    </row>
    <row r="40" spans="1:34" s="175" customFormat="1" ht="40.049999999999997" hidden="1" customHeight="1" outlineLevel="1">
      <c r="A40" s="185">
        <v>3.8</v>
      </c>
      <c r="B40" s="215" t="s">
        <v>44</v>
      </c>
      <c r="C40" s="194"/>
      <c r="D40" s="194"/>
      <c r="E40" s="195"/>
      <c r="F40" s="196"/>
      <c r="G40" s="197"/>
      <c r="H40" s="195"/>
      <c r="I40" s="197"/>
      <c r="J40" s="195"/>
      <c r="K40" s="221"/>
      <c r="L40" s="199"/>
      <c r="M40" s="199"/>
      <c r="N40" s="199"/>
      <c r="O40" s="199"/>
      <c r="P40" s="200"/>
      <c r="Q40" s="200"/>
      <c r="R40" s="201"/>
      <c r="S40" s="200"/>
      <c r="T40" s="200"/>
      <c r="U40" s="200"/>
      <c r="V40" s="200"/>
      <c r="W40" s="200"/>
      <c r="X40" s="200"/>
      <c r="Y40" s="200"/>
      <c r="Z40" s="21"/>
      <c r="AA40" s="394"/>
      <c r="AB40" s="21"/>
      <c r="AC40" s="394"/>
      <c r="AD40" s="21"/>
      <c r="AE40" s="394"/>
      <c r="AF40" s="21"/>
      <c r="AG40" s="394"/>
      <c r="AH40" s="200"/>
    </row>
    <row r="41" spans="1:34" s="175" customFormat="1" ht="40.049999999999997" hidden="1" customHeight="1" outlineLevel="1">
      <c r="A41" s="185">
        <v>3.9</v>
      </c>
      <c r="B41" s="215" t="s">
        <v>45</v>
      </c>
      <c r="C41" s="194"/>
      <c r="D41" s="194"/>
      <c r="E41" s="195"/>
      <c r="F41" s="196"/>
      <c r="G41" s="197"/>
      <c r="H41" s="195"/>
      <c r="I41" s="197"/>
      <c r="J41" s="195"/>
      <c r="K41" s="221"/>
      <c r="L41" s="199"/>
      <c r="M41" s="199"/>
      <c r="N41" s="199"/>
      <c r="O41" s="199"/>
      <c r="P41" s="200"/>
      <c r="Q41" s="200"/>
      <c r="R41" s="201"/>
      <c r="S41" s="200"/>
      <c r="T41" s="200"/>
      <c r="U41" s="200"/>
      <c r="V41" s="200"/>
      <c r="W41" s="200"/>
      <c r="X41" s="200"/>
      <c r="Y41" s="200"/>
      <c r="Z41" s="21"/>
      <c r="AA41" s="394"/>
      <c r="AB41" s="21"/>
      <c r="AC41" s="394"/>
      <c r="AD41" s="21"/>
      <c r="AE41" s="394"/>
      <c r="AF41" s="21"/>
      <c r="AG41" s="394"/>
      <c r="AH41" s="200"/>
    </row>
    <row r="42" spans="1:34" s="175" customFormat="1" ht="30" hidden="1" customHeight="1" outlineLevel="1">
      <c r="A42" s="185">
        <v>3.1</v>
      </c>
      <c r="B42" s="215" t="s">
        <v>46</v>
      </c>
      <c r="C42" s="194"/>
      <c r="D42" s="194"/>
      <c r="E42" s="195"/>
      <c r="F42" s="196"/>
      <c r="G42" s="197"/>
      <c r="H42" s="195"/>
      <c r="I42" s="197"/>
      <c r="J42" s="195"/>
      <c r="K42" s="221"/>
      <c r="L42" s="199"/>
      <c r="M42" s="199"/>
      <c r="N42" s="199"/>
      <c r="O42" s="199"/>
      <c r="P42" s="200"/>
      <c r="Q42" s="200"/>
      <c r="R42" s="201"/>
      <c r="S42" s="200"/>
      <c r="T42" s="200"/>
      <c r="U42" s="200"/>
      <c r="V42" s="200"/>
      <c r="W42" s="200"/>
      <c r="X42" s="200"/>
      <c r="Y42" s="200"/>
      <c r="Z42" s="21"/>
      <c r="AA42" s="394"/>
      <c r="AB42" s="21"/>
      <c r="AC42" s="394"/>
      <c r="AD42" s="21"/>
      <c r="AE42" s="394"/>
      <c r="AF42" s="21"/>
      <c r="AG42" s="394"/>
      <c r="AH42" s="200"/>
    </row>
    <row r="43" spans="1:34" s="175" customFormat="1" ht="30" hidden="1" customHeight="1" outlineLevel="1">
      <c r="A43" s="185">
        <v>3.11</v>
      </c>
      <c r="B43" s="215" t="s">
        <v>50</v>
      </c>
      <c r="C43" s="202"/>
      <c r="D43" s="202"/>
      <c r="E43" s="203"/>
      <c r="F43" s="204"/>
      <c r="G43" s="205"/>
      <c r="H43" s="203"/>
      <c r="I43" s="205"/>
      <c r="J43" s="203"/>
      <c r="K43" s="222"/>
      <c r="L43" s="207"/>
      <c r="M43" s="207"/>
      <c r="N43" s="207"/>
      <c r="O43" s="207"/>
      <c r="P43" s="208"/>
      <c r="Q43" s="208"/>
      <c r="R43" s="223"/>
      <c r="S43" s="208"/>
      <c r="T43" s="208"/>
      <c r="U43" s="208"/>
      <c r="V43" s="208"/>
      <c r="W43" s="208"/>
      <c r="X43" s="208"/>
      <c r="Y43" s="208"/>
      <c r="Z43" s="224"/>
      <c r="AA43" s="396"/>
      <c r="AB43" s="224"/>
      <c r="AC43" s="396"/>
      <c r="AD43" s="224"/>
      <c r="AE43" s="396"/>
      <c r="AF43" s="224"/>
      <c r="AG43" s="396"/>
      <c r="AH43" s="208"/>
    </row>
    <row r="44" spans="1:34" s="175" customFormat="1" ht="30" customHeight="1" collapsed="1">
      <c r="A44" s="225" t="s">
        <v>73</v>
      </c>
      <c r="B44" s="210" t="s">
        <v>74</v>
      </c>
      <c r="C44" s="226"/>
      <c r="D44" s="287"/>
      <c r="E44" s="288"/>
      <c r="F44" s="289"/>
      <c r="G44" s="290"/>
      <c r="H44" s="288"/>
      <c r="I44" s="290"/>
      <c r="J44" s="227"/>
      <c r="K44" s="228"/>
      <c r="L44" s="291"/>
      <c r="M44" s="291"/>
      <c r="N44" s="291"/>
      <c r="O44" s="291"/>
      <c r="P44" s="15"/>
      <c r="Q44" s="15"/>
      <c r="R44" s="292"/>
      <c r="S44" s="15"/>
      <c r="T44" s="15"/>
      <c r="U44" s="15"/>
      <c r="V44" s="15"/>
      <c r="W44" s="15"/>
      <c r="X44" s="292">
        <f>SUM(X45:X56)</f>
        <v>135000000</v>
      </c>
      <c r="Y44" s="15"/>
      <c r="Z44" s="397"/>
      <c r="AA44" s="213">
        <f>SUM(AA45:AA56)</f>
        <v>337500000</v>
      </c>
      <c r="AB44" s="397"/>
      <c r="AC44" s="213">
        <f>SUM(AC45:AC56)</f>
        <v>135000000</v>
      </c>
      <c r="AD44" s="397"/>
      <c r="AE44" s="213">
        <f>SUM(AE45:AE56)</f>
        <v>135000000</v>
      </c>
      <c r="AF44" s="397"/>
      <c r="AG44" s="213">
        <f>SUM(AG45:AG56)</f>
        <v>67500000</v>
      </c>
      <c r="AH44" s="15"/>
    </row>
    <row r="45" spans="1:34" s="175" customFormat="1" ht="30" hidden="1" customHeight="1" outlineLevel="1">
      <c r="A45" s="229" t="s">
        <v>75</v>
      </c>
      <c r="B45" s="215" t="s">
        <v>36</v>
      </c>
      <c r="C45" s="187"/>
      <c r="D45" s="187"/>
      <c r="E45" s="188"/>
      <c r="F45" s="189"/>
      <c r="G45" s="190"/>
      <c r="H45" s="188"/>
      <c r="I45" s="190"/>
      <c r="J45" s="398"/>
      <c r="K45" s="399"/>
      <c r="L45" s="192"/>
      <c r="M45" s="192"/>
      <c r="N45" s="192"/>
      <c r="O45" s="192"/>
      <c r="P45" s="193"/>
      <c r="Q45" s="193"/>
      <c r="R45" s="393"/>
      <c r="S45" s="193"/>
      <c r="T45" s="193"/>
      <c r="U45" s="193"/>
      <c r="V45" s="193"/>
      <c r="W45" s="193"/>
      <c r="X45" s="400">
        <f>BC_ThuChi_2026!H48</f>
        <v>135000000</v>
      </c>
      <c r="Y45" s="193"/>
      <c r="Z45" s="220"/>
      <c r="AA45" s="395"/>
      <c r="AB45" s="220"/>
      <c r="AC45" s="395"/>
      <c r="AD45" s="220"/>
      <c r="AE45" s="395"/>
      <c r="AF45" s="220"/>
      <c r="AG45" s="395"/>
      <c r="AH45" s="193"/>
    </row>
    <row r="46" spans="1:34" s="175" customFormat="1" ht="40.049999999999997" hidden="1" customHeight="1" outlineLevel="1">
      <c r="A46" s="229" t="s">
        <v>76</v>
      </c>
      <c r="B46" s="215" t="s">
        <v>37</v>
      </c>
      <c r="C46" s="194"/>
      <c r="D46" s="194"/>
      <c r="E46" s="195"/>
      <c r="F46" s="196"/>
      <c r="G46" s="197"/>
      <c r="H46" s="195"/>
      <c r="I46" s="197"/>
      <c r="J46" s="401"/>
      <c r="K46" s="221"/>
      <c r="L46" s="199"/>
      <c r="M46" s="199"/>
      <c r="N46" s="199"/>
      <c r="O46" s="199"/>
      <c r="P46" s="200"/>
      <c r="Q46" s="200"/>
      <c r="R46" s="201"/>
      <c r="S46" s="200"/>
      <c r="T46" s="200"/>
      <c r="U46" s="200"/>
      <c r="V46" s="200"/>
      <c r="W46" s="200"/>
      <c r="X46" s="402"/>
      <c r="Y46" s="200"/>
      <c r="Z46" s="21"/>
      <c r="AA46" s="394">
        <f>BC_ThuChi_2026!J49</f>
        <v>135000000</v>
      </c>
      <c r="AB46" s="21"/>
      <c r="AC46" s="394"/>
      <c r="AD46" s="21"/>
      <c r="AE46" s="394"/>
      <c r="AF46" s="21"/>
      <c r="AG46" s="394"/>
      <c r="AH46" s="200"/>
    </row>
    <row r="47" spans="1:34" s="175" customFormat="1" ht="49.95" hidden="1" customHeight="1" outlineLevel="1">
      <c r="A47" s="229" t="s">
        <v>77</v>
      </c>
      <c r="B47" s="215" t="s">
        <v>78</v>
      </c>
      <c r="C47" s="194"/>
      <c r="D47" s="194"/>
      <c r="E47" s="195"/>
      <c r="F47" s="196"/>
      <c r="G47" s="197"/>
      <c r="H47" s="195"/>
      <c r="I47" s="197"/>
      <c r="J47" s="401"/>
      <c r="K47" s="221"/>
      <c r="L47" s="199"/>
      <c r="M47" s="199"/>
      <c r="N47" s="199"/>
      <c r="O47" s="199"/>
      <c r="P47" s="200"/>
      <c r="Q47" s="200"/>
      <c r="R47" s="201"/>
      <c r="S47" s="200"/>
      <c r="T47" s="200"/>
      <c r="U47" s="200"/>
      <c r="V47" s="200"/>
      <c r="W47" s="200"/>
      <c r="X47" s="402"/>
      <c r="Y47" s="200"/>
      <c r="Z47" s="21"/>
      <c r="AA47" s="394">
        <f>BC_ThuChi_2026!J50</f>
        <v>67500000</v>
      </c>
      <c r="AB47" s="21"/>
      <c r="AC47" s="394"/>
      <c r="AD47" s="21"/>
      <c r="AE47" s="394"/>
      <c r="AF47" s="21"/>
      <c r="AG47" s="394"/>
      <c r="AH47" s="200"/>
    </row>
    <row r="48" spans="1:34" s="175" customFormat="1" ht="40.049999999999997" hidden="1" customHeight="1" outlineLevel="1">
      <c r="A48" s="229" t="s">
        <v>79</v>
      </c>
      <c r="B48" s="215" t="s">
        <v>80</v>
      </c>
      <c r="C48" s="194"/>
      <c r="D48" s="194"/>
      <c r="E48" s="195"/>
      <c r="F48" s="196"/>
      <c r="G48" s="197"/>
      <c r="H48" s="195"/>
      <c r="I48" s="197"/>
      <c r="J48" s="401"/>
      <c r="K48" s="221"/>
      <c r="L48" s="199"/>
      <c r="M48" s="199"/>
      <c r="N48" s="199"/>
      <c r="O48" s="199"/>
      <c r="P48" s="200"/>
      <c r="Q48" s="200"/>
      <c r="R48" s="201"/>
      <c r="S48" s="200"/>
      <c r="T48" s="200"/>
      <c r="U48" s="200"/>
      <c r="V48" s="200"/>
      <c r="W48" s="200"/>
      <c r="X48" s="402"/>
      <c r="Y48" s="200"/>
      <c r="Z48" s="21"/>
      <c r="AA48" s="394">
        <f>BC_ThuChi_2026!J51</f>
        <v>135000000</v>
      </c>
      <c r="AB48" s="21"/>
      <c r="AC48" s="394"/>
      <c r="AD48" s="21"/>
      <c r="AE48" s="394"/>
      <c r="AF48" s="21"/>
      <c r="AG48" s="394"/>
      <c r="AH48" s="200"/>
    </row>
    <row r="49" spans="1:34" s="175" customFormat="1" ht="49.95" hidden="1" customHeight="1" outlineLevel="1">
      <c r="A49" s="229" t="s">
        <v>81</v>
      </c>
      <c r="B49" s="215" t="s">
        <v>82</v>
      </c>
      <c r="C49" s="194"/>
      <c r="D49" s="194"/>
      <c r="E49" s="195"/>
      <c r="F49" s="196"/>
      <c r="G49" s="197"/>
      <c r="H49" s="195"/>
      <c r="I49" s="197"/>
      <c r="J49" s="401"/>
      <c r="K49" s="221"/>
      <c r="L49" s="199"/>
      <c r="M49" s="199"/>
      <c r="N49" s="199"/>
      <c r="O49" s="199"/>
      <c r="P49" s="200"/>
      <c r="Q49" s="200"/>
      <c r="R49" s="201"/>
      <c r="S49" s="200"/>
      <c r="T49" s="200"/>
      <c r="U49" s="200"/>
      <c r="V49" s="200"/>
      <c r="W49" s="200"/>
      <c r="X49" s="402"/>
      <c r="Y49" s="200"/>
      <c r="Z49" s="21"/>
      <c r="AA49" s="394"/>
      <c r="AB49" s="21"/>
      <c r="AC49" s="394">
        <f>BC_ThuChi_2026!J52</f>
        <v>135000000</v>
      </c>
      <c r="AD49" s="21"/>
      <c r="AE49" s="394"/>
      <c r="AF49" s="21"/>
      <c r="AG49" s="394"/>
      <c r="AH49" s="200"/>
    </row>
    <row r="50" spans="1:34" s="175" customFormat="1" ht="40.049999999999997" hidden="1" customHeight="1" outlineLevel="1">
      <c r="A50" s="229" t="s">
        <v>83</v>
      </c>
      <c r="B50" s="215" t="s">
        <v>84</v>
      </c>
      <c r="C50" s="194"/>
      <c r="D50" s="194"/>
      <c r="E50" s="195"/>
      <c r="F50" s="196"/>
      <c r="G50" s="197"/>
      <c r="H50" s="195"/>
      <c r="I50" s="197"/>
      <c r="J50" s="401"/>
      <c r="K50" s="221"/>
      <c r="L50" s="199"/>
      <c r="M50" s="199"/>
      <c r="N50" s="199"/>
      <c r="O50" s="199"/>
      <c r="P50" s="200"/>
      <c r="Q50" s="200"/>
      <c r="R50" s="201"/>
      <c r="S50" s="200"/>
      <c r="T50" s="200"/>
      <c r="U50" s="200"/>
      <c r="V50" s="200"/>
      <c r="W50" s="200"/>
      <c r="X50" s="402"/>
      <c r="Y50" s="200"/>
      <c r="Z50" s="21"/>
      <c r="AA50" s="394"/>
      <c r="AB50" s="21"/>
      <c r="AC50" s="394"/>
      <c r="AD50" s="21"/>
      <c r="AE50" s="394">
        <f>BC_ThuChi_2026!J53</f>
        <v>135000000</v>
      </c>
      <c r="AF50" s="21"/>
      <c r="AG50" s="394"/>
      <c r="AH50" s="200"/>
    </row>
    <row r="51" spans="1:34" s="175" customFormat="1" ht="40.049999999999997" hidden="1" customHeight="1" outlineLevel="1">
      <c r="A51" s="229" t="s">
        <v>85</v>
      </c>
      <c r="B51" s="215" t="s">
        <v>86</v>
      </c>
      <c r="C51" s="194"/>
      <c r="D51" s="194"/>
      <c r="E51" s="195"/>
      <c r="F51" s="196"/>
      <c r="G51" s="197"/>
      <c r="H51" s="195"/>
      <c r="I51" s="197"/>
      <c r="J51" s="401"/>
      <c r="K51" s="221"/>
      <c r="L51" s="199"/>
      <c r="M51" s="199"/>
      <c r="N51" s="199"/>
      <c r="O51" s="199"/>
      <c r="P51" s="200"/>
      <c r="Q51" s="200"/>
      <c r="R51" s="201"/>
      <c r="S51" s="200"/>
      <c r="T51" s="200"/>
      <c r="U51" s="200"/>
      <c r="V51" s="200"/>
      <c r="W51" s="200"/>
      <c r="X51" s="402"/>
      <c r="Y51" s="200"/>
      <c r="Z51" s="21"/>
      <c r="AA51" s="394"/>
      <c r="AB51" s="21"/>
      <c r="AC51" s="394"/>
      <c r="AD51" s="21"/>
      <c r="AE51" s="394"/>
      <c r="AF51" s="21"/>
      <c r="AG51" s="394">
        <f>BC_ThuChi_2026!J54</f>
        <v>67500000</v>
      </c>
      <c r="AH51" s="200"/>
    </row>
    <row r="52" spans="1:34" s="175" customFormat="1" ht="40.049999999999997" hidden="1" customHeight="1" outlineLevel="1">
      <c r="A52" s="229" t="s">
        <v>87</v>
      </c>
      <c r="B52" s="215" t="s">
        <v>88</v>
      </c>
      <c r="C52" s="194"/>
      <c r="D52" s="194"/>
      <c r="E52" s="195"/>
      <c r="F52" s="196"/>
      <c r="G52" s="197"/>
      <c r="H52" s="195"/>
      <c r="I52" s="197"/>
      <c r="J52" s="401"/>
      <c r="K52" s="221"/>
      <c r="L52" s="199"/>
      <c r="M52" s="199"/>
      <c r="N52" s="199"/>
      <c r="O52" s="199"/>
      <c r="P52" s="200"/>
      <c r="Q52" s="200"/>
      <c r="R52" s="201"/>
      <c r="S52" s="200"/>
      <c r="T52" s="200"/>
      <c r="U52" s="200"/>
      <c r="V52" s="200"/>
      <c r="W52" s="200"/>
      <c r="X52" s="402"/>
      <c r="Y52" s="200"/>
      <c r="Z52" s="21"/>
      <c r="AA52" s="394"/>
      <c r="AB52" s="21"/>
      <c r="AC52" s="394"/>
      <c r="AD52" s="21"/>
      <c r="AE52" s="394"/>
      <c r="AF52" s="21"/>
      <c r="AG52" s="394"/>
      <c r="AH52" s="200"/>
    </row>
    <row r="53" spans="1:34" s="175" customFormat="1" ht="49.95" hidden="1" customHeight="1" outlineLevel="1">
      <c r="A53" s="229" t="s">
        <v>89</v>
      </c>
      <c r="B53" s="215" t="s">
        <v>90</v>
      </c>
      <c r="C53" s="194"/>
      <c r="D53" s="194"/>
      <c r="E53" s="195"/>
      <c r="F53" s="196"/>
      <c r="G53" s="197"/>
      <c r="H53" s="195"/>
      <c r="I53" s="197"/>
      <c r="J53" s="401"/>
      <c r="K53" s="221"/>
      <c r="L53" s="199"/>
      <c r="M53" s="199"/>
      <c r="N53" s="199"/>
      <c r="O53" s="199"/>
      <c r="P53" s="200"/>
      <c r="Q53" s="200"/>
      <c r="R53" s="201"/>
      <c r="S53" s="200"/>
      <c r="T53" s="200"/>
      <c r="U53" s="200"/>
      <c r="V53" s="200"/>
      <c r="W53" s="200"/>
      <c r="X53" s="402"/>
      <c r="Y53" s="200"/>
      <c r="Z53" s="21"/>
      <c r="AA53" s="394"/>
      <c r="AB53" s="21"/>
      <c r="AC53" s="394"/>
      <c r="AD53" s="21"/>
      <c r="AE53" s="394"/>
      <c r="AF53" s="21"/>
      <c r="AG53" s="394"/>
      <c r="AH53" s="200"/>
    </row>
    <row r="54" spans="1:34" s="175" customFormat="1" ht="49.95" hidden="1" customHeight="1" outlineLevel="1">
      <c r="A54" s="229" t="s">
        <v>91</v>
      </c>
      <c r="B54" s="215" t="s">
        <v>92</v>
      </c>
      <c r="C54" s="194"/>
      <c r="D54" s="194"/>
      <c r="E54" s="195"/>
      <c r="F54" s="196"/>
      <c r="G54" s="197"/>
      <c r="H54" s="195"/>
      <c r="I54" s="197"/>
      <c r="J54" s="401"/>
      <c r="K54" s="221"/>
      <c r="L54" s="199"/>
      <c r="M54" s="199"/>
      <c r="N54" s="199"/>
      <c r="O54" s="199"/>
      <c r="P54" s="200"/>
      <c r="Q54" s="200"/>
      <c r="R54" s="201"/>
      <c r="S54" s="200"/>
      <c r="T54" s="200"/>
      <c r="U54" s="200"/>
      <c r="V54" s="200"/>
      <c r="W54" s="200"/>
      <c r="X54" s="402"/>
      <c r="Y54" s="200"/>
      <c r="Z54" s="21"/>
      <c r="AA54" s="394"/>
      <c r="AB54" s="21"/>
      <c r="AC54" s="394"/>
      <c r="AD54" s="21"/>
      <c r="AE54" s="394"/>
      <c r="AF54" s="21"/>
      <c r="AG54" s="394"/>
      <c r="AH54" s="200"/>
    </row>
    <row r="55" spans="1:34" s="175" customFormat="1" ht="40.049999999999997" hidden="1" customHeight="1" outlineLevel="1">
      <c r="A55" s="229" t="s">
        <v>93</v>
      </c>
      <c r="B55" s="215" t="s">
        <v>94</v>
      </c>
      <c r="C55" s="194"/>
      <c r="D55" s="194"/>
      <c r="E55" s="195"/>
      <c r="F55" s="196"/>
      <c r="G55" s="197"/>
      <c r="H55" s="195"/>
      <c r="I55" s="197"/>
      <c r="J55" s="401"/>
      <c r="K55" s="221"/>
      <c r="L55" s="199"/>
      <c r="M55" s="199"/>
      <c r="N55" s="199"/>
      <c r="O55" s="199"/>
      <c r="P55" s="200"/>
      <c r="Q55" s="200"/>
      <c r="R55" s="201"/>
      <c r="S55" s="200"/>
      <c r="T55" s="200"/>
      <c r="U55" s="200"/>
      <c r="V55" s="200"/>
      <c r="W55" s="200"/>
      <c r="X55" s="402"/>
      <c r="Y55" s="200"/>
      <c r="Z55" s="21"/>
      <c r="AA55" s="394"/>
      <c r="AB55" s="21"/>
      <c r="AC55" s="394"/>
      <c r="AD55" s="21"/>
      <c r="AE55" s="394"/>
      <c r="AF55" s="21"/>
      <c r="AG55" s="394"/>
      <c r="AH55" s="200"/>
    </row>
    <row r="56" spans="1:34" s="175" customFormat="1" ht="40.049999999999997" hidden="1" customHeight="1" outlineLevel="1">
      <c r="A56" s="229" t="s">
        <v>95</v>
      </c>
      <c r="B56" s="215" t="s">
        <v>96</v>
      </c>
      <c r="C56" s="202"/>
      <c r="D56" s="202"/>
      <c r="E56" s="203"/>
      <c r="F56" s="204"/>
      <c r="G56" s="205"/>
      <c r="H56" s="203"/>
      <c r="I56" s="205"/>
      <c r="J56" s="403"/>
      <c r="K56" s="222"/>
      <c r="L56" s="207"/>
      <c r="M56" s="207"/>
      <c r="N56" s="207"/>
      <c r="O56" s="207"/>
      <c r="P56" s="208"/>
      <c r="Q56" s="208"/>
      <c r="R56" s="223"/>
      <c r="S56" s="208"/>
      <c r="T56" s="208"/>
      <c r="U56" s="208"/>
      <c r="V56" s="208"/>
      <c r="W56" s="208"/>
      <c r="X56" s="404"/>
      <c r="Y56" s="208"/>
      <c r="Z56" s="224"/>
      <c r="AA56" s="396"/>
      <c r="AB56" s="224"/>
      <c r="AC56" s="396"/>
      <c r="AD56" s="224"/>
      <c r="AE56" s="396"/>
      <c r="AF56" s="224"/>
      <c r="AG56" s="396"/>
      <c r="AH56" s="208"/>
    </row>
    <row r="57" spans="1:34" s="175" customFormat="1" ht="30" customHeight="1" collapsed="1">
      <c r="A57" s="225" t="s">
        <v>97</v>
      </c>
      <c r="B57" s="210" t="s">
        <v>98</v>
      </c>
      <c r="C57" s="411"/>
      <c r="D57" s="412"/>
      <c r="E57" s="289"/>
      <c r="F57" s="289"/>
      <c r="G57" s="289"/>
      <c r="H57" s="289"/>
      <c r="I57" s="289"/>
      <c r="J57" s="413"/>
      <c r="K57" s="414"/>
      <c r="L57" s="415"/>
      <c r="M57" s="415"/>
      <c r="N57" s="415"/>
      <c r="O57" s="415"/>
      <c r="P57" s="292"/>
      <c r="Q57" s="292"/>
      <c r="R57" s="292"/>
      <c r="S57" s="292"/>
      <c r="T57" s="292"/>
      <c r="U57" s="292"/>
      <c r="V57" s="292"/>
      <c r="W57" s="292"/>
      <c r="X57" s="292">
        <f>SUM(X58:X69)</f>
        <v>529200000</v>
      </c>
      <c r="Y57" s="213">
        <f>SUM(Y58:Y69)</f>
        <v>1090152000</v>
      </c>
      <c r="Z57" s="213"/>
      <c r="AA57" s="213">
        <f>SUM(AA58:AA69)</f>
        <v>1090152000</v>
      </c>
      <c r="AB57" s="213"/>
      <c r="AC57" s="213">
        <f>SUM(AC58:AC69)</f>
        <v>1635228000</v>
      </c>
      <c r="AD57" s="213"/>
      <c r="AE57" s="213">
        <f>SUM(AE58:AE69)</f>
        <v>1090152000</v>
      </c>
      <c r="AF57" s="213"/>
      <c r="AG57" s="213">
        <f>SUM(AG58:AG69)</f>
        <v>1635228000</v>
      </c>
      <c r="AH57" s="213"/>
    </row>
    <row r="58" spans="1:34" s="175" customFormat="1" ht="30" hidden="1" customHeight="1" outlineLevel="1">
      <c r="A58" s="229" t="s">
        <v>99</v>
      </c>
      <c r="B58" s="230" t="s">
        <v>49</v>
      </c>
      <c r="C58" s="405"/>
      <c r="D58" s="405"/>
      <c r="E58" s="189"/>
      <c r="F58" s="189"/>
      <c r="G58" s="189"/>
      <c r="H58" s="189"/>
      <c r="I58" s="189"/>
      <c r="J58" s="189"/>
      <c r="K58" s="406"/>
      <c r="L58" s="416"/>
      <c r="M58" s="416"/>
      <c r="N58" s="416"/>
      <c r="O58" s="416"/>
      <c r="P58" s="220"/>
      <c r="Q58" s="220"/>
      <c r="R58" s="220"/>
      <c r="S58" s="220"/>
      <c r="T58" s="220"/>
      <c r="U58" s="220"/>
      <c r="V58" s="220"/>
      <c r="W58" s="220"/>
      <c r="X58" s="220">
        <f>BC_ThuChi_2026!C62</f>
        <v>529200000</v>
      </c>
      <c r="Y58" s="395"/>
      <c r="Z58" s="395"/>
      <c r="AA58" s="395"/>
      <c r="AB58" s="395"/>
      <c r="AC58" s="395"/>
      <c r="AD58" s="395"/>
      <c r="AE58" s="395"/>
      <c r="AF58" s="395"/>
      <c r="AG58" s="395"/>
      <c r="AH58" s="395"/>
    </row>
    <row r="59" spans="1:34" s="175" customFormat="1" ht="30" hidden="1" customHeight="1" outlineLevel="1">
      <c r="A59" s="229" t="s">
        <v>100</v>
      </c>
      <c r="B59" s="230" t="s">
        <v>36</v>
      </c>
      <c r="C59" s="407"/>
      <c r="D59" s="407"/>
      <c r="E59" s="196"/>
      <c r="F59" s="196"/>
      <c r="G59" s="196"/>
      <c r="H59" s="196"/>
      <c r="I59" s="196"/>
      <c r="J59" s="196"/>
      <c r="K59" s="408"/>
      <c r="L59" s="417"/>
      <c r="M59" s="417"/>
      <c r="N59" s="417"/>
      <c r="O59" s="417"/>
      <c r="P59" s="21"/>
      <c r="Q59" s="21"/>
      <c r="R59" s="21"/>
      <c r="S59" s="21"/>
      <c r="T59" s="21"/>
      <c r="U59" s="21"/>
      <c r="V59" s="21"/>
      <c r="W59" s="21"/>
      <c r="X59" s="21"/>
      <c r="Y59" s="394">
        <f>BC_ThuChi_2026!J63</f>
        <v>1090152000</v>
      </c>
      <c r="Z59" s="394"/>
      <c r="AA59" s="394"/>
      <c r="AB59" s="394"/>
      <c r="AC59" s="394"/>
      <c r="AD59" s="394"/>
      <c r="AE59" s="394"/>
      <c r="AF59" s="394"/>
      <c r="AG59" s="394"/>
      <c r="AH59" s="394"/>
    </row>
    <row r="60" spans="1:34" s="175" customFormat="1" ht="40.049999999999997" hidden="1" customHeight="1" outlineLevel="1">
      <c r="A60" s="229" t="s">
        <v>101</v>
      </c>
      <c r="B60" s="230" t="s">
        <v>37</v>
      </c>
      <c r="C60" s="407"/>
      <c r="D60" s="407"/>
      <c r="E60" s="196"/>
      <c r="F60" s="196"/>
      <c r="G60" s="196"/>
      <c r="H60" s="196"/>
      <c r="I60" s="196"/>
      <c r="J60" s="196"/>
      <c r="K60" s="408"/>
      <c r="L60" s="417"/>
      <c r="M60" s="417"/>
      <c r="N60" s="417"/>
      <c r="O60" s="417"/>
      <c r="P60" s="21"/>
      <c r="Q60" s="21"/>
      <c r="R60" s="21"/>
      <c r="S60" s="21"/>
      <c r="T60" s="21"/>
      <c r="U60" s="21"/>
      <c r="V60" s="21"/>
      <c r="W60" s="21"/>
      <c r="X60" s="21"/>
      <c r="Y60" s="394"/>
      <c r="Z60" s="394"/>
      <c r="AA60" s="394">
        <f>BC_ThuChi_2026!J64</f>
        <v>1090152000</v>
      </c>
      <c r="AB60" s="394"/>
      <c r="AC60" s="394"/>
      <c r="AD60" s="394"/>
      <c r="AE60" s="394"/>
      <c r="AF60" s="394"/>
      <c r="AG60" s="394"/>
      <c r="AH60" s="394"/>
    </row>
    <row r="61" spans="1:34" s="175" customFormat="1" ht="60" hidden="1" customHeight="1" outlineLevel="1">
      <c r="A61" s="229" t="s">
        <v>102</v>
      </c>
      <c r="B61" s="230" t="s">
        <v>103</v>
      </c>
      <c r="C61" s="407"/>
      <c r="D61" s="407"/>
      <c r="E61" s="196"/>
      <c r="F61" s="196"/>
      <c r="G61" s="196"/>
      <c r="H61" s="196"/>
      <c r="I61" s="196"/>
      <c r="J61" s="196"/>
      <c r="K61" s="408"/>
      <c r="L61" s="417"/>
      <c r="M61" s="417"/>
      <c r="N61" s="417"/>
      <c r="O61" s="417"/>
      <c r="P61" s="21"/>
      <c r="Q61" s="21"/>
      <c r="R61" s="21"/>
      <c r="S61" s="21"/>
      <c r="T61" s="21"/>
      <c r="U61" s="21"/>
      <c r="V61" s="21"/>
      <c r="W61" s="21"/>
      <c r="X61" s="21"/>
      <c r="Y61" s="394"/>
      <c r="Z61" s="394"/>
      <c r="AA61" s="394"/>
      <c r="AB61" s="394"/>
      <c r="AC61" s="394">
        <f>BC_ThuChi_2026!J65</f>
        <v>545076000</v>
      </c>
      <c r="AD61" s="394"/>
      <c r="AE61" s="394"/>
      <c r="AF61" s="394"/>
      <c r="AG61" s="394"/>
      <c r="AH61" s="394"/>
    </row>
    <row r="62" spans="1:34" s="175" customFormat="1" ht="40.049999999999997" hidden="1" customHeight="1" outlineLevel="1">
      <c r="A62" s="229" t="s">
        <v>104</v>
      </c>
      <c r="B62" s="230" t="s">
        <v>105</v>
      </c>
      <c r="C62" s="407"/>
      <c r="D62" s="407"/>
      <c r="E62" s="196"/>
      <c r="F62" s="196"/>
      <c r="G62" s="196"/>
      <c r="H62" s="196"/>
      <c r="I62" s="196"/>
      <c r="J62" s="196"/>
      <c r="K62" s="408"/>
      <c r="L62" s="417"/>
      <c r="M62" s="417"/>
      <c r="N62" s="417"/>
      <c r="O62" s="417"/>
      <c r="P62" s="21"/>
      <c r="Q62" s="21"/>
      <c r="R62" s="21"/>
      <c r="S62" s="21"/>
      <c r="T62" s="21"/>
      <c r="U62" s="21"/>
      <c r="V62" s="21"/>
      <c r="W62" s="21"/>
      <c r="X62" s="21"/>
      <c r="Y62" s="394"/>
      <c r="Z62" s="394"/>
      <c r="AA62" s="394"/>
      <c r="AB62" s="394"/>
      <c r="AC62" s="394">
        <f>BC_ThuChi_2026!J66</f>
        <v>1090152000</v>
      </c>
      <c r="AD62" s="394"/>
      <c r="AE62" s="394"/>
      <c r="AF62" s="394"/>
      <c r="AG62" s="394"/>
      <c r="AH62" s="394"/>
    </row>
    <row r="63" spans="1:34" s="175" customFormat="1" ht="60" hidden="1" customHeight="1" outlineLevel="1">
      <c r="A63" s="229" t="s">
        <v>106</v>
      </c>
      <c r="B63" s="230" t="s">
        <v>107</v>
      </c>
      <c r="C63" s="407"/>
      <c r="D63" s="407"/>
      <c r="E63" s="196"/>
      <c r="F63" s="196"/>
      <c r="G63" s="196"/>
      <c r="H63" s="196"/>
      <c r="I63" s="196"/>
      <c r="J63" s="196"/>
      <c r="K63" s="408"/>
      <c r="L63" s="417"/>
      <c r="M63" s="417"/>
      <c r="N63" s="417"/>
      <c r="O63" s="417"/>
      <c r="P63" s="21"/>
      <c r="Q63" s="21"/>
      <c r="R63" s="21"/>
      <c r="S63" s="21"/>
      <c r="T63" s="21"/>
      <c r="U63" s="21"/>
      <c r="V63" s="21"/>
      <c r="W63" s="21"/>
      <c r="X63" s="21"/>
      <c r="Y63" s="394"/>
      <c r="Z63" s="394"/>
      <c r="AA63" s="394"/>
      <c r="AB63" s="394"/>
      <c r="AC63" s="394"/>
      <c r="AD63" s="394"/>
      <c r="AE63" s="394">
        <f>BC_ThuChi_2026!J67</f>
        <v>1090152000</v>
      </c>
      <c r="AF63" s="394"/>
      <c r="AG63" s="394"/>
      <c r="AH63" s="394"/>
    </row>
    <row r="64" spans="1:34" s="175" customFormat="1" ht="40.049999999999997" hidden="1" customHeight="1" outlineLevel="1">
      <c r="A64" s="229" t="s">
        <v>108</v>
      </c>
      <c r="B64" s="230" t="s">
        <v>109</v>
      </c>
      <c r="C64" s="407"/>
      <c r="D64" s="407"/>
      <c r="E64" s="196"/>
      <c r="F64" s="196"/>
      <c r="G64" s="196"/>
      <c r="H64" s="196"/>
      <c r="I64" s="196"/>
      <c r="J64" s="196"/>
      <c r="K64" s="408"/>
      <c r="L64" s="417"/>
      <c r="M64" s="417"/>
      <c r="N64" s="417"/>
      <c r="O64" s="417"/>
      <c r="P64" s="21"/>
      <c r="Q64" s="21"/>
      <c r="R64" s="21"/>
      <c r="S64" s="21"/>
      <c r="T64" s="21"/>
      <c r="U64" s="21"/>
      <c r="V64" s="21"/>
      <c r="W64" s="21"/>
      <c r="X64" s="21"/>
      <c r="Y64" s="394"/>
      <c r="Z64" s="394"/>
      <c r="AA64" s="394"/>
      <c r="AB64" s="394"/>
      <c r="AC64" s="394"/>
      <c r="AD64" s="394"/>
      <c r="AE64" s="394"/>
      <c r="AF64" s="394"/>
      <c r="AG64" s="394">
        <f>BC_ThuChi_2026!J68</f>
        <v>1090152000</v>
      </c>
      <c r="AH64" s="394"/>
    </row>
    <row r="65" spans="1:34" s="175" customFormat="1" ht="40.049999999999997" hidden="1" customHeight="1" outlineLevel="1">
      <c r="A65" s="229" t="s">
        <v>110</v>
      </c>
      <c r="B65" s="230" t="s">
        <v>111</v>
      </c>
      <c r="C65" s="407"/>
      <c r="D65" s="407"/>
      <c r="E65" s="196"/>
      <c r="F65" s="196"/>
      <c r="G65" s="196"/>
      <c r="H65" s="196"/>
      <c r="I65" s="196"/>
      <c r="J65" s="196"/>
      <c r="K65" s="408"/>
      <c r="L65" s="417"/>
      <c r="M65" s="417"/>
      <c r="N65" s="417"/>
      <c r="O65" s="417"/>
      <c r="P65" s="21"/>
      <c r="Q65" s="21"/>
      <c r="R65" s="21"/>
      <c r="S65" s="21"/>
      <c r="T65" s="21"/>
      <c r="U65" s="21"/>
      <c r="V65" s="21"/>
      <c r="W65" s="21"/>
      <c r="X65" s="21"/>
      <c r="Y65" s="394"/>
      <c r="Z65" s="394"/>
      <c r="AA65" s="394"/>
      <c r="AB65" s="394"/>
      <c r="AC65" s="394"/>
      <c r="AD65" s="394"/>
      <c r="AE65" s="394"/>
      <c r="AF65" s="394"/>
      <c r="AG65" s="394">
        <f>BC_ThuChi_2026!J69</f>
        <v>545076000</v>
      </c>
      <c r="AH65" s="394"/>
    </row>
    <row r="66" spans="1:34" s="175" customFormat="1" ht="40.049999999999997" hidden="1" customHeight="1" outlineLevel="1">
      <c r="A66" s="229" t="s">
        <v>112</v>
      </c>
      <c r="B66" s="230" t="s">
        <v>113</v>
      </c>
      <c r="C66" s="407"/>
      <c r="D66" s="407"/>
      <c r="E66" s="196"/>
      <c r="F66" s="196"/>
      <c r="G66" s="196"/>
      <c r="H66" s="196"/>
      <c r="I66" s="196"/>
      <c r="J66" s="196"/>
      <c r="K66" s="408"/>
      <c r="L66" s="417"/>
      <c r="M66" s="417"/>
      <c r="N66" s="417"/>
      <c r="O66" s="417"/>
      <c r="P66" s="21"/>
      <c r="Q66" s="21"/>
      <c r="R66" s="21"/>
      <c r="S66" s="21"/>
      <c r="T66" s="21"/>
      <c r="U66" s="21"/>
      <c r="V66" s="21"/>
      <c r="W66" s="21"/>
      <c r="X66" s="21"/>
      <c r="Y66" s="394"/>
      <c r="Z66" s="394"/>
      <c r="AA66" s="394"/>
      <c r="AB66" s="394"/>
      <c r="AC66" s="394"/>
      <c r="AD66" s="394"/>
      <c r="AE66" s="394"/>
      <c r="AF66" s="394"/>
      <c r="AG66" s="394"/>
      <c r="AH66" s="394"/>
    </row>
    <row r="67" spans="1:34" s="175" customFormat="1" ht="40.049999999999997" hidden="1" customHeight="1" outlineLevel="1">
      <c r="A67" s="229" t="s">
        <v>114</v>
      </c>
      <c r="B67" s="230" t="s">
        <v>115</v>
      </c>
      <c r="C67" s="407"/>
      <c r="D67" s="407"/>
      <c r="E67" s="196"/>
      <c r="F67" s="196"/>
      <c r="G67" s="196"/>
      <c r="H67" s="196"/>
      <c r="I67" s="196"/>
      <c r="J67" s="196"/>
      <c r="K67" s="408"/>
      <c r="L67" s="417"/>
      <c r="M67" s="417"/>
      <c r="N67" s="417"/>
      <c r="O67" s="417"/>
      <c r="P67" s="21"/>
      <c r="Q67" s="21"/>
      <c r="R67" s="21"/>
      <c r="S67" s="21"/>
      <c r="T67" s="21"/>
      <c r="U67" s="21"/>
      <c r="V67" s="21"/>
      <c r="W67" s="21"/>
      <c r="X67" s="21"/>
      <c r="Y67" s="394"/>
      <c r="Z67" s="394"/>
      <c r="AA67" s="394"/>
      <c r="AB67" s="394"/>
      <c r="AC67" s="394"/>
      <c r="AD67" s="394"/>
      <c r="AE67" s="394"/>
      <c r="AF67" s="394"/>
      <c r="AG67" s="394"/>
      <c r="AH67" s="394"/>
    </row>
    <row r="68" spans="1:34" s="175" customFormat="1" ht="40.049999999999997" hidden="1" customHeight="1" outlineLevel="1">
      <c r="A68" s="229" t="s">
        <v>116</v>
      </c>
      <c r="B68" s="230" t="s">
        <v>117</v>
      </c>
      <c r="C68" s="407"/>
      <c r="D68" s="407"/>
      <c r="E68" s="196"/>
      <c r="F68" s="196"/>
      <c r="G68" s="196"/>
      <c r="H68" s="196"/>
      <c r="I68" s="196"/>
      <c r="J68" s="196"/>
      <c r="K68" s="408"/>
      <c r="L68" s="417"/>
      <c r="M68" s="417"/>
      <c r="N68" s="417"/>
      <c r="O68" s="417"/>
      <c r="P68" s="21"/>
      <c r="Q68" s="21"/>
      <c r="R68" s="21"/>
      <c r="S68" s="21"/>
      <c r="T68" s="21"/>
      <c r="U68" s="21"/>
      <c r="V68" s="21"/>
      <c r="W68" s="21"/>
      <c r="X68" s="21"/>
      <c r="Y68" s="394"/>
      <c r="Z68" s="394"/>
      <c r="AA68" s="394"/>
      <c r="AB68" s="394"/>
      <c r="AC68" s="394"/>
      <c r="AD68" s="394"/>
      <c r="AE68" s="394"/>
      <c r="AF68" s="394"/>
      <c r="AG68" s="394"/>
      <c r="AH68" s="394"/>
    </row>
    <row r="69" spans="1:34" s="175" customFormat="1" ht="40.049999999999997" hidden="1" customHeight="1" outlineLevel="1">
      <c r="A69" s="229" t="s">
        <v>118</v>
      </c>
      <c r="B69" s="230" t="s">
        <v>119</v>
      </c>
      <c r="C69" s="407"/>
      <c r="D69" s="407"/>
      <c r="E69" s="196"/>
      <c r="F69" s="196"/>
      <c r="G69" s="196"/>
      <c r="H69" s="196"/>
      <c r="I69" s="196"/>
      <c r="J69" s="196"/>
      <c r="K69" s="408"/>
      <c r="L69" s="417"/>
      <c r="M69" s="417"/>
      <c r="N69" s="417"/>
      <c r="O69" s="417"/>
      <c r="P69" s="21"/>
      <c r="Q69" s="21"/>
      <c r="R69" s="21"/>
      <c r="S69" s="21"/>
      <c r="T69" s="21"/>
      <c r="U69" s="21"/>
      <c r="V69" s="21"/>
      <c r="W69" s="21"/>
      <c r="X69" s="21"/>
      <c r="Y69" s="394"/>
      <c r="Z69" s="394"/>
      <c r="AA69" s="394"/>
      <c r="AB69" s="394"/>
      <c r="AC69" s="394"/>
      <c r="AD69" s="394"/>
      <c r="AE69" s="394"/>
      <c r="AF69" s="394"/>
      <c r="AG69" s="394"/>
      <c r="AH69" s="394"/>
    </row>
    <row r="70" spans="1:34" s="175" customFormat="1" ht="30" hidden="1" customHeight="1" outlineLevel="1">
      <c r="A70" s="229" t="s">
        <v>120</v>
      </c>
      <c r="B70" s="230" t="s">
        <v>50</v>
      </c>
      <c r="C70" s="409"/>
      <c r="D70" s="409"/>
      <c r="E70" s="204"/>
      <c r="F70" s="204"/>
      <c r="G70" s="204"/>
      <c r="H70" s="204"/>
      <c r="I70" s="204"/>
      <c r="J70" s="204"/>
      <c r="K70" s="410"/>
      <c r="L70" s="418"/>
      <c r="M70" s="418"/>
      <c r="N70" s="418"/>
      <c r="O70" s="418"/>
      <c r="P70" s="224"/>
      <c r="Q70" s="224"/>
      <c r="R70" s="224"/>
      <c r="S70" s="224"/>
      <c r="T70" s="224"/>
      <c r="U70" s="224"/>
      <c r="V70" s="224"/>
      <c r="W70" s="224"/>
      <c r="X70" s="224"/>
      <c r="Y70" s="396"/>
      <c r="Z70" s="396"/>
      <c r="AA70" s="396"/>
      <c r="AB70" s="396"/>
      <c r="AC70" s="396"/>
      <c r="AD70" s="396"/>
      <c r="AE70" s="396"/>
      <c r="AF70" s="396"/>
      <c r="AG70" s="396"/>
      <c r="AH70" s="396"/>
    </row>
    <row r="71" spans="1:34" ht="30" customHeight="1">
      <c r="A71" s="231" t="s">
        <v>51</v>
      </c>
      <c r="B71" s="232" t="s">
        <v>52</v>
      </c>
      <c r="C71" s="456" t="s">
        <v>5</v>
      </c>
      <c r="D71" s="457"/>
      <c r="E71" s="457"/>
      <c r="F71" s="457"/>
      <c r="G71" s="457"/>
      <c r="H71" s="457"/>
      <c r="I71" s="457"/>
      <c r="J71" s="451"/>
      <c r="K71" s="456" t="s">
        <v>6</v>
      </c>
      <c r="L71" s="457"/>
      <c r="M71" s="457"/>
      <c r="N71" s="457"/>
      <c r="O71" s="457"/>
      <c r="P71" s="457"/>
      <c r="Q71" s="457"/>
      <c r="R71" s="457"/>
      <c r="S71" s="457"/>
      <c r="T71" s="457"/>
      <c r="U71" s="457"/>
      <c r="V71" s="457"/>
      <c r="W71" s="457"/>
      <c r="X71" s="457"/>
      <c r="Y71" s="457"/>
      <c r="Z71" s="457"/>
      <c r="AA71" s="457"/>
      <c r="AB71" s="457"/>
      <c r="AC71" s="457"/>
      <c r="AD71" s="457"/>
      <c r="AE71" s="457"/>
      <c r="AF71" s="457"/>
      <c r="AG71" s="457"/>
      <c r="AH71" s="451"/>
    </row>
    <row r="72" spans="1:34" ht="30" customHeight="1">
      <c r="A72" s="462" t="s">
        <v>53</v>
      </c>
      <c r="B72" s="460" t="s">
        <v>54</v>
      </c>
      <c r="C72" s="450" t="s">
        <v>9</v>
      </c>
      <c r="D72" s="451"/>
      <c r="E72" s="450" t="s">
        <v>10</v>
      </c>
      <c r="F72" s="451"/>
      <c r="G72" s="450" t="s">
        <v>11</v>
      </c>
      <c r="H72" s="451"/>
      <c r="I72" s="450" t="s">
        <v>12</v>
      </c>
      <c r="J72" s="451"/>
      <c r="K72" s="450" t="s">
        <v>13</v>
      </c>
      <c r="L72" s="451"/>
      <c r="M72" s="450" t="s">
        <v>14</v>
      </c>
      <c r="N72" s="451"/>
      <c r="O72" s="450" t="s">
        <v>15</v>
      </c>
      <c r="P72" s="451"/>
      <c r="Q72" s="450" t="s">
        <v>16</v>
      </c>
      <c r="R72" s="451"/>
      <c r="S72" s="450" t="s">
        <v>17</v>
      </c>
      <c r="T72" s="451"/>
      <c r="U72" s="450" t="s">
        <v>18</v>
      </c>
      <c r="V72" s="451"/>
      <c r="W72" s="450" t="s">
        <v>19</v>
      </c>
      <c r="X72" s="451"/>
      <c r="Y72" s="450" t="s">
        <v>20</v>
      </c>
      <c r="Z72" s="451"/>
      <c r="AA72" s="450" t="s">
        <v>9</v>
      </c>
      <c r="AB72" s="451"/>
      <c r="AC72" s="450" t="s">
        <v>10</v>
      </c>
      <c r="AD72" s="451"/>
      <c r="AE72" s="450" t="s">
        <v>11</v>
      </c>
      <c r="AF72" s="451"/>
      <c r="AG72" s="450" t="s">
        <v>12</v>
      </c>
      <c r="AH72" s="451"/>
    </row>
    <row r="73" spans="1:34" ht="30" customHeight="1">
      <c r="A73" s="461"/>
      <c r="B73" s="461"/>
      <c r="C73" s="181" t="s">
        <v>23</v>
      </c>
      <c r="D73" s="181" t="s">
        <v>24</v>
      </c>
      <c r="E73" s="181" t="s">
        <v>23</v>
      </c>
      <c r="F73" s="181" t="s">
        <v>24</v>
      </c>
      <c r="G73" s="181" t="s">
        <v>23</v>
      </c>
      <c r="H73" s="181" t="s">
        <v>24</v>
      </c>
      <c r="I73" s="181" t="s">
        <v>23</v>
      </c>
      <c r="J73" s="181" t="s">
        <v>24</v>
      </c>
      <c r="K73" s="181" t="s">
        <v>23</v>
      </c>
      <c r="L73" s="181" t="s">
        <v>24</v>
      </c>
      <c r="M73" s="181" t="s">
        <v>23</v>
      </c>
      <c r="N73" s="181" t="s">
        <v>24</v>
      </c>
      <c r="O73" s="181" t="s">
        <v>23</v>
      </c>
      <c r="P73" s="181" t="s">
        <v>24</v>
      </c>
      <c r="Q73" s="181" t="s">
        <v>23</v>
      </c>
      <c r="R73" s="181" t="s">
        <v>24</v>
      </c>
      <c r="S73" s="181" t="s">
        <v>23</v>
      </c>
      <c r="T73" s="181" t="s">
        <v>24</v>
      </c>
      <c r="U73" s="181" t="s">
        <v>23</v>
      </c>
      <c r="V73" s="181" t="s">
        <v>24</v>
      </c>
      <c r="W73" s="181" t="s">
        <v>23</v>
      </c>
      <c r="X73" s="181" t="s">
        <v>24</v>
      </c>
      <c r="Y73" s="181" t="s">
        <v>23</v>
      </c>
      <c r="Z73" s="181" t="s">
        <v>24</v>
      </c>
      <c r="AA73" s="181" t="s">
        <v>23</v>
      </c>
      <c r="AB73" s="181" t="s">
        <v>24</v>
      </c>
      <c r="AC73" s="181" t="s">
        <v>23</v>
      </c>
      <c r="AD73" s="181" t="s">
        <v>24</v>
      </c>
      <c r="AE73" s="181" t="s">
        <v>23</v>
      </c>
      <c r="AF73" s="181" t="s">
        <v>24</v>
      </c>
      <c r="AG73" s="181" t="s">
        <v>23</v>
      </c>
      <c r="AH73" s="181" t="s">
        <v>24</v>
      </c>
    </row>
    <row r="74" spans="1:34" ht="24.9" customHeight="1" collapsed="1">
      <c r="A74" s="458">
        <v>1</v>
      </c>
      <c r="B74" s="234" t="s">
        <v>55</v>
      </c>
      <c r="C74" s="233"/>
      <c r="D74" s="376">
        <f>SUM(D75:D79)</f>
        <v>64539000</v>
      </c>
      <c r="E74" s="233"/>
      <c r="F74" s="376">
        <f>SUM(F75:F79)</f>
        <v>2020800</v>
      </c>
      <c r="G74" s="233"/>
      <c r="H74" s="376"/>
      <c r="I74" s="233"/>
      <c r="J74" s="376"/>
      <c r="K74" s="233"/>
      <c r="L74" s="376">
        <f>SUM(L75:L79)</f>
        <v>948000</v>
      </c>
      <c r="M74" s="233"/>
      <c r="N74" s="376">
        <f>SUM(N75:N79)</f>
        <v>57200000</v>
      </c>
      <c r="O74" s="233"/>
      <c r="P74" s="233"/>
      <c r="Q74" s="233"/>
      <c r="R74" s="233"/>
      <c r="S74" s="233"/>
      <c r="T74" s="376"/>
      <c r="U74" s="235"/>
      <c r="V74" s="376">
        <v>42260000</v>
      </c>
      <c r="W74" s="233"/>
      <c r="X74" s="376">
        <v>65000000</v>
      </c>
      <c r="Y74" s="235">
        <f>SUM(Y75:Y79)</f>
        <v>1000000</v>
      </c>
      <c r="Z74" s="233"/>
      <c r="AA74" s="235"/>
      <c r="AB74" s="233"/>
      <c r="AC74" s="235"/>
      <c r="AD74" s="233"/>
      <c r="AE74" s="233"/>
      <c r="AF74" s="233"/>
      <c r="AG74" s="233"/>
      <c r="AH74" s="233"/>
    </row>
    <row r="75" spans="1:34" ht="24.9" hidden="1" customHeight="1" outlineLevel="1">
      <c r="A75" s="459"/>
      <c r="B75" s="236" t="s">
        <v>56</v>
      </c>
      <c r="C75" s="237"/>
      <c r="D75" s="431">
        <v>60000000</v>
      </c>
      <c r="E75" s="238"/>
      <c r="F75" s="425"/>
      <c r="G75" s="238"/>
      <c r="H75" s="425"/>
      <c r="I75" s="238"/>
      <c r="J75" s="425"/>
      <c r="K75" s="238"/>
      <c r="L75" s="425"/>
      <c r="M75" s="238"/>
      <c r="N75" s="238"/>
      <c r="O75" s="238"/>
      <c r="P75" s="238"/>
      <c r="Q75" s="238"/>
      <c r="R75" s="238"/>
      <c r="S75" s="238"/>
      <c r="T75" s="238"/>
      <c r="U75" s="238"/>
      <c r="V75" s="238"/>
      <c r="W75" s="238"/>
      <c r="X75" s="238"/>
      <c r="Y75" s="238"/>
      <c r="Z75" s="238"/>
      <c r="AA75" s="238"/>
      <c r="AB75" s="238"/>
      <c r="AC75" s="239"/>
      <c r="AD75" s="238"/>
      <c r="AE75" s="239"/>
      <c r="AF75" s="239"/>
      <c r="AG75" s="239"/>
      <c r="AH75" s="239"/>
    </row>
    <row r="76" spans="1:34" ht="40.200000000000003" hidden="1" customHeight="1" outlineLevel="1">
      <c r="A76" s="459"/>
      <c r="B76" s="240" t="s">
        <v>57</v>
      </c>
      <c r="C76" s="241"/>
      <c r="D76" s="432"/>
      <c r="E76" s="241"/>
      <c r="F76" s="432">
        <v>450000</v>
      </c>
      <c r="G76" s="242"/>
      <c r="H76" s="378"/>
      <c r="I76" s="242"/>
      <c r="J76" s="378"/>
      <c r="K76" s="242"/>
      <c r="L76" s="378"/>
      <c r="M76" s="242"/>
      <c r="N76" s="242"/>
      <c r="O76" s="242"/>
      <c r="P76" s="242"/>
      <c r="Q76" s="242"/>
      <c r="R76" s="242"/>
      <c r="S76" s="242"/>
      <c r="T76" s="242"/>
      <c r="U76" s="242"/>
      <c r="V76" s="242"/>
      <c r="W76" s="243"/>
      <c r="X76" s="242"/>
      <c r="Y76" s="242">
        <v>1000000</v>
      </c>
      <c r="Z76" s="242"/>
      <c r="AA76" s="242"/>
      <c r="AB76" s="242"/>
      <c r="AC76" s="244"/>
      <c r="AD76" s="242"/>
      <c r="AE76" s="244"/>
      <c r="AF76" s="244"/>
      <c r="AG76" s="244"/>
      <c r="AH76" s="244"/>
    </row>
    <row r="77" spans="1:34" ht="40.200000000000003" hidden="1" customHeight="1" outlineLevel="1">
      <c r="A77" s="459"/>
      <c r="B77" s="240" t="s">
        <v>58</v>
      </c>
      <c r="C77" s="241"/>
      <c r="D77" s="432"/>
      <c r="E77" s="241"/>
      <c r="F77" s="432">
        <v>1570800</v>
      </c>
      <c r="G77" s="242"/>
      <c r="H77" s="378"/>
      <c r="I77" s="245"/>
      <c r="J77" s="426"/>
      <c r="K77" s="245"/>
      <c r="L77" s="426">
        <v>948000</v>
      </c>
      <c r="M77" s="245"/>
      <c r="N77" s="245"/>
      <c r="O77" s="245"/>
      <c r="P77" s="245"/>
      <c r="Q77" s="245"/>
      <c r="R77" s="245"/>
      <c r="S77" s="245"/>
      <c r="T77" s="245"/>
      <c r="U77" s="245"/>
      <c r="V77" s="245"/>
      <c r="W77" s="245"/>
      <c r="X77" s="245"/>
      <c r="Y77" s="245"/>
      <c r="Z77" s="245"/>
      <c r="AA77" s="245"/>
      <c r="AB77" s="245"/>
      <c r="AC77" s="245">
        <v>1579800</v>
      </c>
      <c r="AD77" s="245"/>
      <c r="AE77" s="244"/>
      <c r="AF77" s="244"/>
      <c r="AG77" s="244"/>
      <c r="AH77" s="244"/>
    </row>
    <row r="78" spans="1:34" ht="24.9" hidden="1" customHeight="1" outlineLevel="1">
      <c r="A78" s="459"/>
      <c r="B78" s="240" t="s">
        <v>59</v>
      </c>
      <c r="C78" s="241"/>
      <c r="D78" s="432">
        <v>4539000</v>
      </c>
      <c r="E78" s="246"/>
      <c r="F78" s="427"/>
      <c r="G78" s="246"/>
      <c r="H78" s="427"/>
      <c r="I78" s="246"/>
      <c r="J78" s="427"/>
      <c r="K78" s="246"/>
      <c r="L78" s="427"/>
      <c r="M78" s="246"/>
      <c r="N78" s="246"/>
      <c r="O78" s="246"/>
      <c r="P78" s="246"/>
      <c r="Q78" s="246"/>
      <c r="R78" s="246"/>
      <c r="S78" s="246"/>
      <c r="T78" s="246"/>
      <c r="U78" s="246"/>
      <c r="V78" s="246"/>
      <c r="W78" s="246"/>
      <c r="X78" s="246"/>
      <c r="Y78" s="246"/>
      <c r="Z78" s="246"/>
      <c r="AA78" s="246"/>
      <c r="AB78" s="245"/>
      <c r="AC78" s="245">
        <v>4140000</v>
      </c>
      <c r="AD78" s="245"/>
      <c r="AE78" s="244"/>
      <c r="AF78" s="244"/>
      <c r="AG78" s="244"/>
      <c r="AH78" s="244"/>
    </row>
    <row r="79" spans="1:34" ht="24.9" hidden="1" customHeight="1" outlineLevel="1">
      <c r="A79" s="459"/>
      <c r="B79" s="247" t="s">
        <v>60</v>
      </c>
      <c r="C79" s="241"/>
      <c r="D79" s="432"/>
      <c r="E79" s="241"/>
      <c r="F79" s="432"/>
      <c r="G79" s="241"/>
      <c r="H79" s="432"/>
      <c r="I79" s="241"/>
      <c r="J79" s="426"/>
      <c r="K79" s="241"/>
      <c r="L79" s="426"/>
      <c r="M79" s="245"/>
      <c r="N79" s="245">
        <v>57200000</v>
      </c>
      <c r="O79" s="245"/>
      <c r="P79" s="245"/>
      <c r="Q79" s="245"/>
      <c r="R79" s="245"/>
      <c r="S79" s="245"/>
      <c r="T79" s="245"/>
      <c r="U79" s="245"/>
      <c r="V79" s="245"/>
      <c r="W79" s="245"/>
      <c r="X79" s="245"/>
      <c r="Y79" s="245"/>
      <c r="Z79" s="245"/>
      <c r="AA79" s="245"/>
      <c r="AB79" s="245"/>
      <c r="AC79" s="244"/>
      <c r="AD79" s="245"/>
      <c r="AE79" s="244"/>
      <c r="AF79" s="244"/>
      <c r="AG79" s="244"/>
      <c r="AH79" s="244"/>
    </row>
    <row r="80" spans="1:34" s="249" customFormat="1" ht="24.9" customHeight="1">
      <c r="A80" s="460">
        <v>2</v>
      </c>
      <c r="B80" s="234" t="s">
        <v>61</v>
      </c>
      <c r="C80" s="248"/>
      <c r="D80" s="433"/>
      <c r="E80" s="248"/>
      <c r="F80" s="376">
        <f>SUM(F81:F84)</f>
        <v>9244800</v>
      </c>
      <c r="G80" s="233"/>
      <c r="H80" s="376">
        <f>SUM(H81:H84)</f>
        <v>35073000</v>
      </c>
      <c r="I80" s="233"/>
      <c r="J80" s="376">
        <f>SUM(J81:J84)</f>
        <v>49115500</v>
      </c>
      <c r="K80" s="233"/>
      <c r="L80" s="376">
        <f>SUM(L81:L84)</f>
        <v>115315686</v>
      </c>
      <c r="M80" s="233"/>
      <c r="N80" s="376">
        <f>SUM(N81:N84)</f>
        <v>79347250</v>
      </c>
      <c r="O80" s="233"/>
      <c r="P80" s="376">
        <f>SUM(P81:P84)</f>
        <v>95998063</v>
      </c>
      <c r="Q80" s="233"/>
      <c r="R80" s="376">
        <f>SUM(R81:R84)</f>
        <v>99195604</v>
      </c>
      <c r="S80" s="233"/>
      <c r="T80" s="376">
        <f t="shared" ref="T80:Y80" si="0">SUM(T81:T84)</f>
        <v>221286109</v>
      </c>
      <c r="U80" s="235">
        <f t="shared" si="0"/>
        <v>142473000</v>
      </c>
      <c r="V80" s="376">
        <f t="shared" si="0"/>
        <v>161688179</v>
      </c>
      <c r="W80" s="235">
        <f t="shared" si="0"/>
        <v>179575000</v>
      </c>
      <c r="X80" s="376">
        <f t="shared" si="0"/>
        <v>268337816</v>
      </c>
      <c r="Y80" s="235">
        <f t="shared" si="0"/>
        <v>201879000</v>
      </c>
      <c r="Z80" s="248"/>
      <c r="AA80" s="235">
        <f>SUM(AA81:AA84)</f>
        <v>207527500</v>
      </c>
      <c r="AB80" s="233"/>
      <c r="AC80" s="235">
        <f>SUM(AC81:AC84)</f>
        <v>207527500</v>
      </c>
      <c r="AD80" s="233"/>
      <c r="AE80" s="235">
        <f>SUM(AE81:AE84)</f>
        <v>207527500</v>
      </c>
      <c r="AF80" s="233"/>
      <c r="AG80" s="235">
        <f>SUM(AG81:AG84)</f>
        <v>207527500</v>
      </c>
      <c r="AH80" s="248"/>
    </row>
    <row r="81" spans="1:34" s="249" customFormat="1" ht="24.9" customHeight="1" outlineLevel="1">
      <c r="A81" s="459"/>
      <c r="B81" s="215" t="s">
        <v>61</v>
      </c>
      <c r="C81" s="250"/>
      <c r="D81" s="434"/>
      <c r="E81" s="250"/>
      <c r="F81" s="434">
        <v>9244800</v>
      </c>
      <c r="G81" s="251"/>
      <c r="H81" s="424">
        <v>35073000</v>
      </c>
      <c r="I81" s="251"/>
      <c r="J81" s="428">
        <v>47180500</v>
      </c>
      <c r="K81" s="251"/>
      <c r="L81" s="428">
        <v>109940686</v>
      </c>
      <c r="M81" s="252"/>
      <c r="N81" s="424">
        <v>70102250</v>
      </c>
      <c r="O81" s="252"/>
      <c r="P81" s="424">
        <v>86753063</v>
      </c>
      <c r="Q81" s="252"/>
      <c r="R81" s="424">
        <v>89950604</v>
      </c>
      <c r="S81" s="253"/>
      <c r="T81" s="377">
        <f>'[1]Luong Thang 05.2026'!$AE$22</f>
        <v>104171500</v>
      </c>
      <c r="U81" s="253">
        <f>'[1]Luong Thang 06.2026'!$AF$26</f>
        <v>129048000</v>
      </c>
      <c r="V81" s="377">
        <v>130068179</v>
      </c>
      <c r="W81" s="253">
        <f>'[1]Luong Thang 07.2026'!$AG$27</f>
        <v>162095000</v>
      </c>
      <c r="X81" s="377">
        <v>149517147</v>
      </c>
      <c r="Y81" s="253">
        <v>158019000</v>
      </c>
      <c r="Z81" s="253"/>
      <c r="AA81" s="253">
        <v>159927500</v>
      </c>
      <c r="AB81" s="254"/>
      <c r="AC81" s="254">
        <f>AA81</f>
        <v>159927500</v>
      </c>
      <c r="AD81" s="254"/>
      <c r="AE81" s="254">
        <f>AC81</f>
        <v>159927500</v>
      </c>
      <c r="AF81" s="254"/>
      <c r="AG81" s="254">
        <f>AE81</f>
        <v>159927500</v>
      </c>
      <c r="AH81" s="255"/>
    </row>
    <row r="82" spans="1:34" s="249" customFormat="1" ht="24.9" customHeight="1" outlineLevel="1">
      <c r="A82" s="459"/>
      <c r="B82" s="215" t="s">
        <v>62</v>
      </c>
      <c r="C82" s="256"/>
      <c r="D82" s="435"/>
      <c r="E82" s="256"/>
      <c r="F82" s="435"/>
      <c r="G82" s="257"/>
      <c r="H82" s="381"/>
      <c r="I82" s="257"/>
      <c r="J82" s="429">
        <v>1935000</v>
      </c>
      <c r="K82" s="257"/>
      <c r="L82" s="429">
        <v>5375000</v>
      </c>
      <c r="M82" s="258"/>
      <c r="N82" s="381">
        <v>9245000</v>
      </c>
      <c r="O82" s="258"/>
      <c r="P82" s="381">
        <v>9245000</v>
      </c>
      <c r="Q82" s="258"/>
      <c r="R82" s="381">
        <v>9245000</v>
      </c>
      <c r="S82" s="258"/>
      <c r="T82" s="381">
        <f>'[1]Luong Thang 05.2026'!$AH$22</f>
        <v>7310000</v>
      </c>
      <c r="U82" s="259">
        <f>'[1]Luong Thang 06.2026'!$AH$22</f>
        <v>10965000</v>
      </c>
      <c r="V82" s="378">
        <v>30080000</v>
      </c>
      <c r="W82" s="259">
        <f>'[1]Luong Thang 07.2026'!$AH$23</f>
        <v>14620000</v>
      </c>
      <c r="X82" s="378">
        <v>30080000</v>
      </c>
      <c r="Y82" s="259">
        <v>41280000</v>
      </c>
      <c r="Z82" s="259"/>
      <c r="AA82" s="259">
        <v>44800000</v>
      </c>
      <c r="AB82" s="260"/>
      <c r="AC82" s="260">
        <f>AA82</f>
        <v>44800000</v>
      </c>
      <c r="AD82" s="260"/>
      <c r="AE82" s="260">
        <f>AC82</f>
        <v>44800000</v>
      </c>
      <c r="AF82" s="260"/>
      <c r="AG82" s="260">
        <f>AE82</f>
        <v>44800000</v>
      </c>
      <c r="AH82" s="261"/>
    </row>
    <row r="83" spans="1:34" s="249" customFormat="1" ht="24.9" customHeight="1" outlineLevel="1">
      <c r="A83" s="459"/>
      <c r="B83" s="215" t="s">
        <v>63</v>
      </c>
      <c r="C83" s="262"/>
      <c r="D83" s="436"/>
      <c r="E83" s="262"/>
      <c r="F83" s="436"/>
      <c r="G83" s="263"/>
      <c r="H83" s="382"/>
      <c r="I83" s="263"/>
      <c r="J83" s="430"/>
      <c r="K83" s="263"/>
      <c r="L83" s="430"/>
      <c r="M83" s="264"/>
      <c r="N83" s="382"/>
      <c r="O83" s="264"/>
      <c r="P83" s="382"/>
      <c r="Q83" s="264"/>
      <c r="R83" s="382"/>
      <c r="S83" s="264"/>
      <c r="T83" s="382">
        <f>'[1]Luong Thang 05.2026'!$L$25</f>
        <v>1540000</v>
      </c>
      <c r="U83" s="265">
        <f>'[1]Luong Thang 06.2026'!$L$24</f>
        <v>2460000</v>
      </c>
      <c r="V83" s="379">
        <v>1540000</v>
      </c>
      <c r="W83" s="265">
        <f>'[1]Luong Thang 07.2026'!$L$25</f>
        <v>2860000</v>
      </c>
      <c r="X83" s="379">
        <v>1880000</v>
      </c>
      <c r="Y83" s="265">
        <v>2580000</v>
      </c>
      <c r="Z83" s="265"/>
      <c r="AA83" s="265">
        <v>2800000</v>
      </c>
      <c r="AB83" s="266"/>
      <c r="AC83" s="265">
        <f>AA83</f>
        <v>2800000</v>
      </c>
      <c r="AD83" s="266"/>
      <c r="AE83" s="265">
        <f>AC83</f>
        <v>2800000</v>
      </c>
      <c r="AF83" s="266"/>
      <c r="AG83" s="265">
        <f>AE83</f>
        <v>2800000</v>
      </c>
      <c r="AH83" s="267"/>
    </row>
    <row r="84" spans="1:34" s="249" customFormat="1" ht="24.9" customHeight="1" outlineLevel="1">
      <c r="A84" s="461"/>
      <c r="B84" s="215" t="s">
        <v>64</v>
      </c>
      <c r="C84" s="268"/>
      <c r="D84" s="383"/>
      <c r="E84" s="268"/>
      <c r="F84" s="383"/>
      <c r="G84" s="268"/>
      <c r="H84" s="383"/>
      <c r="I84" s="268"/>
      <c r="J84" s="383"/>
      <c r="K84" s="268"/>
      <c r="L84" s="383"/>
      <c r="M84" s="268"/>
      <c r="N84" s="383"/>
      <c r="O84" s="268"/>
      <c r="P84" s="383"/>
      <c r="Q84" s="268"/>
      <c r="R84" s="383"/>
      <c r="S84" s="268"/>
      <c r="T84" s="383">
        <v>108264609</v>
      </c>
      <c r="U84" s="269"/>
      <c r="V84" s="380">
        <v>0</v>
      </c>
      <c r="W84" s="269">
        <v>0</v>
      </c>
      <c r="X84" s="380">
        <v>86860669</v>
      </c>
      <c r="Y84" s="269">
        <v>0</v>
      </c>
      <c r="Z84" s="269"/>
      <c r="AA84" s="269">
        <v>0</v>
      </c>
      <c r="AB84" s="269"/>
      <c r="AC84" s="269"/>
      <c r="AD84" s="269"/>
      <c r="AE84" s="269">
        <v>0</v>
      </c>
      <c r="AF84" s="270"/>
      <c r="AG84" s="384">
        <v>0</v>
      </c>
      <c r="AH84" s="270"/>
    </row>
    <row r="85" spans="1:34" ht="24.9" customHeight="1">
      <c r="A85" s="271">
        <v>3</v>
      </c>
      <c r="B85" s="234" t="s">
        <v>65</v>
      </c>
      <c r="C85" s="233"/>
      <c r="D85" s="376"/>
      <c r="E85" s="233"/>
      <c r="F85" s="376" t="s">
        <v>132</v>
      </c>
      <c r="G85" s="233"/>
      <c r="H85" s="376" t="s">
        <v>132</v>
      </c>
      <c r="I85" s="233"/>
      <c r="J85" s="376" t="s">
        <v>132</v>
      </c>
      <c r="K85" s="233">
        <v>178510000</v>
      </c>
      <c r="L85" s="376">
        <f>39159500+7455000+948000</f>
        <v>47562500</v>
      </c>
      <c r="M85" s="233">
        <f>K85</f>
        <v>178510000</v>
      </c>
      <c r="N85" s="376">
        <f>14208350+17697460</f>
        <v>31905810</v>
      </c>
      <c r="O85" s="233">
        <f>M85</f>
        <v>178510000</v>
      </c>
      <c r="P85" s="376">
        <f>39214500+6963000</f>
        <v>46177500</v>
      </c>
      <c r="Q85" s="233">
        <f>O85</f>
        <v>178510000</v>
      </c>
      <c r="R85" s="376">
        <f>70812500+11473120</f>
        <v>82285620</v>
      </c>
      <c r="S85" s="233">
        <f>Q85</f>
        <v>178510000</v>
      </c>
      <c r="T85" s="376">
        <f>65599500+18863573+74672000</f>
        <v>159135073</v>
      </c>
      <c r="U85" s="233">
        <f>S85</f>
        <v>178510000</v>
      </c>
      <c r="V85" s="376">
        <f>65744500+9632030+29700000+37760000</f>
        <v>142836530</v>
      </c>
      <c r="W85" s="233" t="s">
        <v>132</v>
      </c>
      <c r="X85" s="376">
        <f>65834500+14497940</f>
        <v>80332440</v>
      </c>
      <c r="Y85" s="235">
        <f>'CP_VP-Overhead'!F42</f>
        <v>225079000</v>
      </c>
      <c r="Z85" s="233"/>
      <c r="AA85" s="235">
        <f>Y85</f>
        <v>225079000</v>
      </c>
      <c r="AB85" s="233"/>
      <c r="AC85" s="235">
        <f>Y85</f>
        <v>225079000</v>
      </c>
      <c r="AD85" s="233"/>
      <c r="AE85" s="235">
        <f>AC85</f>
        <v>225079000</v>
      </c>
      <c r="AF85" s="233"/>
      <c r="AG85" s="235">
        <f>AE85</f>
        <v>225079000</v>
      </c>
      <c r="AH85" s="233"/>
    </row>
    <row r="86" spans="1:34" s="276" customFormat="1" ht="30" customHeight="1">
      <c r="A86" s="272" t="s">
        <v>66</v>
      </c>
      <c r="B86" s="273" t="s">
        <v>67</v>
      </c>
      <c r="C86" s="272"/>
      <c r="D86" s="272"/>
      <c r="E86" s="274"/>
      <c r="F86" s="274"/>
      <c r="G86" s="274"/>
      <c r="H86" s="274"/>
      <c r="I86" s="274"/>
      <c r="J86" s="274"/>
      <c r="K86" s="275"/>
      <c r="L86" s="422"/>
      <c r="M86" s="422"/>
      <c r="N86" s="422"/>
      <c r="O86" s="422"/>
      <c r="P86" s="422"/>
      <c r="Q86" s="422"/>
      <c r="R86" s="419">
        <v>51800000</v>
      </c>
      <c r="S86" s="419"/>
      <c r="T86" s="419"/>
      <c r="U86" s="419"/>
      <c r="V86" s="419"/>
      <c r="W86" s="421"/>
      <c r="X86" s="423"/>
      <c r="Y86" s="421">
        <v>150000000</v>
      </c>
      <c r="Z86" s="420"/>
      <c r="AA86" s="420"/>
      <c r="AB86" s="420"/>
      <c r="AC86" s="421">
        <f>0.08* SUM(AA19,AA32,AA44,AA57,AC9,AC19,AC32,AC44,AC57,AE19,AE32,AE44,AE57,AG9,AG19,AG32,AG44,AG57)</f>
        <v>813425176.80000007</v>
      </c>
      <c r="AD86" s="420"/>
      <c r="AE86" s="420"/>
      <c r="AF86" s="420"/>
      <c r="AG86" s="420"/>
      <c r="AH86" s="420"/>
    </row>
    <row r="87" spans="1:34" s="276" customFormat="1" ht="30" customHeight="1">
      <c r="A87" s="272" t="s">
        <v>68</v>
      </c>
      <c r="B87" s="273" t="s">
        <v>69</v>
      </c>
      <c r="C87" s="277"/>
      <c r="D87" s="277"/>
      <c r="E87" s="278"/>
      <c r="F87" s="278"/>
      <c r="G87" s="278"/>
      <c r="H87" s="278"/>
      <c r="I87" s="278"/>
      <c r="J87" s="278"/>
      <c r="K87" s="279"/>
      <c r="L87" s="419">
        <v>13000000</v>
      </c>
      <c r="M87" s="420"/>
      <c r="N87" s="419">
        <v>163550000</v>
      </c>
      <c r="O87" s="420"/>
      <c r="P87" s="420"/>
      <c r="Q87" s="420"/>
      <c r="R87" s="419"/>
      <c r="S87" s="419"/>
      <c r="T87" s="419"/>
      <c r="U87" s="419"/>
      <c r="V87" s="419"/>
      <c r="W87" s="419"/>
      <c r="X87" s="419"/>
      <c r="Y87" s="419"/>
      <c r="Z87" s="420"/>
      <c r="AA87" s="420"/>
      <c r="AB87" s="420"/>
      <c r="AC87" s="421">
        <v>80000000</v>
      </c>
      <c r="AD87" s="420"/>
      <c r="AE87" s="420"/>
      <c r="AF87" s="420"/>
      <c r="AG87" s="420"/>
      <c r="AH87" s="420"/>
    </row>
    <row r="88" spans="1:34" s="276" customFormat="1" ht="30" customHeight="1">
      <c r="A88" s="178" t="s">
        <v>70</v>
      </c>
      <c r="B88" s="280" t="s">
        <v>404</v>
      </c>
      <c r="C88" s="178"/>
      <c r="D88" s="178">
        <f>SUM(D9,D19,D32) - SUM(D74,D80,D85,D86,D87)</f>
        <v>-64539000</v>
      </c>
      <c r="E88" s="178"/>
      <c r="F88" s="178">
        <f>SUM(F9,F19,F32) - SUM(F74,F80,F85)</f>
        <v>-11265600</v>
      </c>
      <c r="G88" s="178"/>
      <c r="H88" s="178">
        <f>SUM(H9,H19,H32) - SUM(H74,H80,H85)</f>
        <v>-35073000</v>
      </c>
      <c r="I88" s="178"/>
      <c r="J88" s="178">
        <f>SUM(J9,J19,J32) - SUM(J74,J80,J85)</f>
        <v>127140500</v>
      </c>
      <c r="K88" s="178"/>
      <c r="L88" s="178">
        <f>SUM(L9,L19,L32) - SUM(L74,L80,L85,L87)</f>
        <v>-176826186</v>
      </c>
      <c r="M88" s="178"/>
      <c r="N88" s="178">
        <f>SUM(N9,N19,N32) - SUM(N74,N80,N85,N87)</f>
        <v>307767340</v>
      </c>
      <c r="O88" s="178"/>
      <c r="P88" s="178">
        <f>SUM(P9,P19,P32) - SUM(P74,P80,P85)</f>
        <v>717914837</v>
      </c>
      <c r="Q88" s="178"/>
      <c r="R88" s="178">
        <f>SUM(R9,R19,R32) - SUM(R74,R80,R85,R86)</f>
        <v>-27816224</v>
      </c>
      <c r="S88" s="178"/>
      <c r="T88" s="178">
        <f>SUM(T9,T19,T32) - SUM(T74,T80,T85)</f>
        <v>-60535982</v>
      </c>
      <c r="U88" s="178">
        <f>SUM(U9,U19,U32) - SUM(U74,U80,U85)</f>
        <v>-320983000</v>
      </c>
      <c r="V88" s="178"/>
      <c r="W88" s="178"/>
      <c r="X88" s="437">
        <f>SUM(X19,X44,X57) - SUM(X74,X80,X85)</f>
        <v>890300144</v>
      </c>
      <c r="Y88" s="438">
        <f>SUM(Y9,Y19,Y32,Y57) - SUM(Y74,Y80,Y85,Y86)</f>
        <v>644386000</v>
      </c>
      <c r="Z88" s="178"/>
      <c r="AA88" s="438">
        <f>SUM(AA9,AA19,AA32,AA44,AA57) - SUM(AA74,AA80,AA85)</f>
        <v>2794183480</v>
      </c>
      <c r="AB88" s="178"/>
      <c r="AC88" s="438">
        <f>SUM(AC9,AC19,AC32,AC44,AC57) - SUM(AC74,AC80,AC85,AC86,AC87)</f>
        <v>1503998703.1999998</v>
      </c>
      <c r="AD88" s="178"/>
      <c r="AE88" s="438">
        <f>SUM(AE9,AE19,AE32,AE44,AE57) - SUM(AE74,AE80,AE85)</f>
        <v>1312142680</v>
      </c>
      <c r="AF88" s="178"/>
      <c r="AG88" s="438">
        <f>SUM(AG9,AG19,AG32,AG44,AG57) - SUM(AG74,AG80,AG85)</f>
        <v>1933638670</v>
      </c>
      <c r="AH88" s="178"/>
    </row>
    <row r="89" spans="1:34" s="285" customFormat="1" ht="30" customHeight="1">
      <c r="A89" s="281"/>
      <c r="B89" s="282" t="s">
        <v>71</v>
      </c>
      <c r="C89" s="454">
        <f>SUM(D88,L88,R88,T88,U88)</f>
        <v>-650700392</v>
      </c>
      <c r="D89" s="455"/>
      <c r="E89" s="283"/>
      <c r="F89" s="283"/>
      <c r="G89" s="283"/>
      <c r="H89" s="283"/>
      <c r="I89" s="283"/>
      <c r="J89" s="283"/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  <c r="V89" s="284"/>
      <c r="W89" s="284"/>
      <c r="X89" s="284"/>
      <c r="Y89" s="284"/>
      <c r="Z89" s="284"/>
      <c r="AA89" s="284"/>
      <c r="AB89" s="284"/>
      <c r="AC89" s="284"/>
      <c r="AD89" s="284"/>
      <c r="AE89" s="284"/>
      <c r="AF89" s="284"/>
      <c r="AG89" s="284"/>
      <c r="AH89" s="284"/>
    </row>
    <row r="90" spans="1:34" ht="30" customHeight="1">
      <c r="B90" s="286" t="s">
        <v>72</v>
      </c>
      <c r="C90" s="452">
        <f>SUM(N88,P88,X88,Y88,AA88,AC88,AE88,AG88)</f>
        <v>10104331854.200001</v>
      </c>
      <c r="D90" s="453"/>
    </row>
  </sheetData>
  <mergeCells count="42">
    <mergeCell ref="Y7:Z7"/>
    <mergeCell ref="A80:A84"/>
    <mergeCell ref="G7:H7"/>
    <mergeCell ref="S7:T7"/>
    <mergeCell ref="O7:P7"/>
    <mergeCell ref="Q7:R7"/>
    <mergeCell ref="I7:J7"/>
    <mergeCell ref="C71:J71"/>
    <mergeCell ref="G72:H72"/>
    <mergeCell ref="M72:N72"/>
    <mergeCell ref="A74:A79"/>
    <mergeCell ref="S72:T72"/>
    <mergeCell ref="Y72:Z72"/>
    <mergeCell ref="B72:B73"/>
    <mergeCell ref="K7:L7"/>
    <mergeCell ref="C7:D7"/>
    <mergeCell ref="E7:F7"/>
    <mergeCell ref="Q72:R72"/>
    <mergeCell ref="E72:F72"/>
    <mergeCell ref="A72:A73"/>
    <mergeCell ref="C72:D72"/>
    <mergeCell ref="I72:J72"/>
    <mergeCell ref="K72:L72"/>
    <mergeCell ref="K71:AH71"/>
    <mergeCell ref="O72:P72"/>
    <mergeCell ref="U72:V72"/>
    <mergeCell ref="U7:V7"/>
    <mergeCell ref="AA7:AB7"/>
    <mergeCell ref="C90:D90"/>
    <mergeCell ref="C89:D89"/>
    <mergeCell ref="K6:AH6"/>
    <mergeCell ref="AE72:AF72"/>
    <mergeCell ref="AG72:AH72"/>
    <mergeCell ref="AG7:AH7"/>
    <mergeCell ref="AE7:AF7"/>
    <mergeCell ref="C6:J6"/>
    <mergeCell ref="W72:X72"/>
    <mergeCell ref="AC7:AD7"/>
    <mergeCell ref="AC72:AD72"/>
    <mergeCell ref="AA72:AB72"/>
    <mergeCell ref="W7:X7"/>
    <mergeCell ref="M7:N7"/>
  </mergeCells>
  <printOptions horizontalCentered="1"/>
  <pageMargins left="0.5" right="0.3" top="0.5" bottom="0.5" header="0.3" footer="0.3"/>
  <pageSetup paperSize="9" scale="48" fitToHeight="1000" orientation="portrait" horizontalDpi="1200" verticalDpi="1200" r:id="rId1"/>
  <headerFooter>
    <oddFooter>&amp;R&amp;P</oddFooter>
  </headerFooter>
  <ignoredErrors>
    <ignoredError sqref="A57:B70" numberStoredAsText="1"/>
    <ignoredError sqref="X80 V80" formulaRange="1"/>
    <ignoredError sqref="N85 P85 R85 T8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A117"/>
  <sheetViews>
    <sheetView view="pageBreakPreview" zoomScale="70" zoomScaleNormal="100" zoomScaleSheetLayoutView="70" workbookViewId="0">
      <selection activeCell="M61" sqref="M61"/>
    </sheetView>
  </sheetViews>
  <sheetFormatPr defaultColWidth="8.88671875" defaultRowHeight="16.8" outlineLevelRow="2"/>
  <cols>
    <col min="1" max="1" width="10.6640625" style="32" customWidth="1"/>
    <col min="2" max="2" width="70.77734375" style="31" customWidth="1"/>
    <col min="3" max="3" width="25.6640625" style="153" customWidth="1"/>
    <col min="4" max="4" width="25.6640625" style="154" customWidth="1"/>
    <col min="5" max="5" width="15.6640625" style="293" customWidth="1"/>
    <col min="6" max="7" width="15.6640625" style="153" customWidth="1"/>
    <col min="8" max="8" width="25.6640625" style="153" customWidth="1"/>
    <col min="9" max="9" width="20.6640625" style="31" customWidth="1"/>
    <col min="10" max="10" width="25.6640625" style="31" customWidth="1"/>
    <col min="11" max="11" width="2.6640625" style="31" customWidth="1"/>
    <col min="12" max="12" width="15.6640625" style="31" customWidth="1"/>
    <col min="13" max="13" width="20.6640625" style="31" customWidth="1"/>
    <col min="14" max="25" width="15.6640625" style="31" customWidth="1"/>
    <col min="26" max="26" width="8.88671875" style="31" customWidth="1"/>
    <col min="27" max="27" width="11.33203125" style="31" bestFit="1" customWidth="1"/>
    <col min="28" max="28" width="8.88671875" style="31" customWidth="1"/>
    <col min="29" max="16384" width="8.88671875" style="31"/>
  </cols>
  <sheetData>
    <row r="1" spans="1:10" ht="15" customHeight="1"/>
    <row r="2" spans="1:10" s="172" customFormat="1" ht="30" customHeight="1">
      <c r="A2" s="482" t="s">
        <v>121</v>
      </c>
      <c r="B2" s="483"/>
      <c r="C2" s="483"/>
      <c r="D2" s="483"/>
      <c r="E2" s="483"/>
      <c r="F2" s="483"/>
      <c r="G2" s="483"/>
      <c r="H2" s="483"/>
    </row>
    <row r="3" spans="1:10" s="294" customFormat="1" ht="24.9" customHeight="1">
      <c r="A3" s="480" t="s">
        <v>1</v>
      </c>
      <c r="B3" s="481"/>
      <c r="C3" s="481"/>
      <c r="D3" s="481"/>
      <c r="E3" s="481"/>
      <c r="F3" s="481"/>
      <c r="G3" s="481"/>
      <c r="H3" s="481"/>
    </row>
    <row r="4" spans="1:10" s="172" customFormat="1" ht="24.9" customHeight="1">
      <c r="A4" s="489" t="s">
        <v>2</v>
      </c>
      <c r="B4" s="483"/>
      <c r="C4" s="483"/>
      <c r="D4" s="483"/>
      <c r="E4" s="483"/>
      <c r="F4" s="483"/>
      <c r="G4" s="483"/>
      <c r="H4" s="483"/>
    </row>
    <row r="5" spans="1:10" s="172" customFormat="1" ht="15" customHeight="1" thickBot="1">
      <c r="A5" s="165"/>
      <c r="B5" s="166"/>
      <c r="C5" s="168"/>
      <c r="D5" s="168"/>
      <c r="E5" s="295"/>
      <c r="F5" s="168"/>
      <c r="G5" s="168"/>
      <c r="H5" s="169"/>
    </row>
    <row r="6" spans="1:10" s="175" customFormat="1" ht="30" customHeight="1">
      <c r="A6" s="485" t="s">
        <v>122</v>
      </c>
      <c r="B6" s="486"/>
      <c r="C6" s="486"/>
      <c r="D6" s="486"/>
      <c r="E6" s="486"/>
      <c r="F6" s="486"/>
      <c r="G6" s="486"/>
      <c r="H6" s="296" t="s">
        <v>123</v>
      </c>
      <c r="I6" s="297"/>
      <c r="J6" s="375" t="s">
        <v>124</v>
      </c>
    </row>
    <row r="7" spans="1:10" s="175" customFormat="1" ht="30" customHeight="1">
      <c r="A7" s="298" t="s">
        <v>7</v>
      </c>
      <c r="B7" s="487" t="s">
        <v>8</v>
      </c>
      <c r="C7" s="488"/>
      <c r="D7" s="488"/>
      <c r="E7" s="488"/>
      <c r="F7" s="488"/>
      <c r="G7" s="488"/>
      <c r="H7" s="300">
        <f>SUM(H9,H20,H34,H47,H61)</f>
        <v>3706793100</v>
      </c>
      <c r="I7" s="301"/>
      <c r="J7" s="302">
        <f>SUM(J9,J20,J34,J47,J61)</f>
        <v>11434222710</v>
      </c>
    </row>
    <row r="8" spans="1:10" s="175" customFormat="1" ht="39.9" customHeight="1" outlineLevel="1">
      <c r="A8" s="303" t="s">
        <v>53</v>
      </c>
      <c r="B8" s="179" t="s">
        <v>22</v>
      </c>
      <c r="C8" s="304" t="s">
        <v>125</v>
      </c>
      <c r="D8" s="304" t="s">
        <v>126</v>
      </c>
      <c r="E8" s="304" t="s">
        <v>127</v>
      </c>
      <c r="F8" s="304" t="s">
        <v>128</v>
      </c>
      <c r="G8" s="304" t="s">
        <v>129</v>
      </c>
      <c r="H8" s="304" t="s">
        <v>130</v>
      </c>
      <c r="I8" s="140" t="s">
        <v>131</v>
      </c>
      <c r="J8" s="305" t="s">
        <v>395</v>
      </c>
    </row>
    <row r="9" spans="1:10" s="175" customFormat="1" ht="30" customHeight="1" outlineLevel="1" collapsed="1">
      <c r="A9" s="225">
        <v>1</v>
      </c>
      <c r="B9" s="210" t="s">
        <v>25</v>
      </c>
      <c r="C9" s="306">
        <f>SUM(C10:C18)</f>
        <v>816000000</v>
      </c>
      <c r="D9" s="307">
        <f>SUM(D10:D18)</f>
        <v>881280000</v>
      </c>
      <c r="E9" s="308">
        <f>SUM(E10:E18)</f>
        <v>1.0000000000000002</v>
      </c>
      <c r="F9" s="304">
        <v>0</v>
      </c>
      <c r="G9" s="308">
        <f>SUM(G10:G18)</f>
        <v>0.45</v>
      </c>
      <c r="H9" s="304">
        <f>SUM(H10:H18)</f>
        <v>396576000</v>
      </c>
      <c r="I9" s="309">
        <f>SUM(I10:I18)</f>
        <v>0.5</v>
      </c>
      <c r="J9" s="310">
        <f>SUM(J10:J18)</f>
        <v>440640000</v>
      </c>
    </row>
    <row r="10" spans="1:10" s="175" customFormat="1" ht="30" hidden="1" customHeight="1" outlineLevel="2">
      <c r="A10" s="229">
        <v>1.1000000000000001</v>
      </c>
      <c r="B10" s="186" t="s">
        <v>26</v>
      </c>
      <c r="C10" s="311">
        <v>163200000</v>
      </c>
      <c r="D10" s="105">
        <f t="shared" ref="D10:D18" si="0">C10*(1+0.08)</f>
        <v>176256000</v>
      </c>
      <c r="E10" s="312">
        <v>0.2</v>
      </c>
      <c r="F10" s="313">
        <v>0</v>
      </c>
      <c r="G10" s="314">
        <f>E10</f>
        <v>0.2</v>
      </c>
      <c r="H10" s="313">
        <f>D10</f>
        <v>176256000</v>
      </c>
      <c r="I10" s="315" t="s">
        <v>132</v>
      </c>
      <c r="J10" s="316" t="s">
        <v>132</v>
      </c>
    </row>
    <row r="11" spans="1:10" s="175" customFormat="1" ht="30" hidden="1" customHeight="1" outlineLevel="2">
      <c r="A11" s="229">
        <v>1.2</v>
      </c>
      <c r="B11" s="186" t="s">
        <v>27</v>
      </c>
      <c r="C11" s="311">
        <v>204000000</v>
      </c>
      <c r="D11" s="105">
        <f t="shared" si="0"/>
        <v>220320000</v>
      </c>
      <c r="E11" s="312">
        <v>0.25</v>
      </c>
      <c r="F11" s="313">
        <v>0</v>
      </c>
      <c r="G11" s="314">
        <f>E11</f>
        <v>0.25</v>
      </c>
      <c r="H11" s="313">
        <f>D11</f>
        <v>220320000</v>
      </c>
      <c r="I11" s="315" t="s">
        <v>132</v>
      </c>
      <c r="J11" s="316" t="s">
        <v>132</v>
      </c>
    </row>
    <row r="12" spans="1:10" s="175" customFormat="1" ht="30" hidden="1" customHeight="1" outlineLevel="2">
      <c r="A12" s="229">
        <v>1.3</v>
      </c>
      <c r="B12" s="186" t="s">
        <v>28</v>
      </c>
      <c r="C12" s="311">
        <v>40800000</v>
      </c>
      <c r="D12" s="105">
        <f t="shared" si="0"/>
        <v>44064000</v>
      </c>
      <c r="E12" s="312">
        <v>0.05</v>
      </c>
      <c r="F12" s="313">
        <v>0</v>
      </c>
      <c r="G12" s="314" t="s">
        <v>132</v>
      </c>
      <c r="H12" s="313">
        <v>0</v>
      </c>
      <c r="I12" s="315">
        <v>0.05</v>
      </c>
      <c r="J12" s="317">
        <f t="shared" ref="J12:J17" si="1">D12</f>
        <v>44064000</v>
      </c>
    </row>
    <row r="13" spans="1:10" s="175" customFormat="1" ht="30" hidden="1" customHeight="1" outlineLevel="2">
      <c r="A13" s="229">
        <v>1.4</v>
      </c>
      <c r="B13" s="186" t="s">
        <v>29</v>
      </c>
      <c r="C13" s="311">
        <v>40800000</v>
      </c>
      <c r="D13" s="105">
        <f t="shared" si="0"/>
        <v>44064000</v>
      </c>
      <c r="E13" s="312">
        <v>0.05</v>
      </c>
      <c r="F13" s="313">
        <v>0</v>
      </c>
      <c r="G13" s="314" t="s">
        <v>132</v>
      </c>
      <c r="H13" s="313">
        <v>0</v>
      </c>
      <c r="I13" s="315">
        <v>0.05</v>
      </c>
      <c r="J13" s="317">
        <f t="shared" si="1"/>
        <v>44064000</v>
      </c>
    </row>
    <row r="14" spans="1:10" s="175" customFormat="1" ht="30" hidden="1" customHeight="1" outlineLevel="2">
      <c r="A14" s="229">
        <v>1.5</v>
      </c>
      <c r="B14" s="186" t="s">
        <v>30</v>
      </c>
      <c r="C14" s="311">
        <v>40800000</v>
      </c>
      <c r="D14" s="105">
        <f t="shared" si="0"/>
        <v>44064000</v>
      </c>
      <c r="E14" s="312">
        <v>0.05</v>
      </c>
      <c r="F14" s="313">
        <v>0</v>
      </c>
      <c r="G14" s="314" t="s">
        <v>132</v>
      </c>
      <c r="H14" s="313">
        <v>0</v>
      </c>
      <c r="I14" s="315">
        <v>0.05</v>
      </c>
      <c r="J14" s="317">
        <f t="shared" si="1"/>
        <v>44064000</v>
      </c>
    </row>
    <row r="15" spans="1:10" s="175" customFormat="1" ht="30" hidden="1" customHeight="1" outlineLevel="2">
      <c r="A15" s="229">
        <v>1.6</v>
      </c>
      <c r="B15" s="186" t="s">
        <v>31</v>
      </c>
      <c r="C15" s="311">
        <v>204000000</v>
      </c>
      <c r="D15" s="105">
        <f t="shared" si="0"/>
        <v>220320000</v>
      </c>
      <c r="E15" s="312">
        <v>0.25</v>
      </c>
      <c r="F15" s="313">
        <v>0</v>
      </c>
      <c r="G15" s="314" t="s">
        <v>132</v>
      </c>
      <c r="H15" s="313">
        <v>0</v>
      </c>
      <c r="I15" s="315">
        <v>0.25</v>
      </c>
      <c r="J15" s="317">
        <f t="shared" si="1"/>
        <v>220320000</v>
      </c>
    </row>
    <row r="16" spans="1:10" s="175" customFormat="1" ht="30" hidden="1" customHeight="1" outlineLevel="2">
      <c r="A16" s="229">
        <v>1.7</v>
      </c>
      <c r="B16" s="186" t="s">
        <v>32</v>
      </c>
      <c r="C16" s="311">
        <v>40800000</v>
      </c>
      <c r="D16" s="105">
        <f t="shared" si="0"/>
        <v>44064000</v>
      </c>
      <c r="E16" s="312">
        <v>0.05</v>
      </c>
      <c r="F16" s="313">
        <v>0</v>
      </c>
      <c r="G16" s="314" t="s">
        <v>132</v>
      </c>
      <c r="H16" s="313">
        <v>0</v>
      </c>
      <c r="I16" s="315">
        <v>0.05</v>
      </c>
      <c r="J16" s="317">
        <f t="shared" si="1"/>
        <v>44064000</v>
      </c>
    </row>
    <row r="17" spans="1:13" s="175" customFormat="1" ht="30" hidden="1" customHeight="1" outlineLevel="2">
      <c r="A17" s="229">
        <v>1.8</v>
      </c>
      <c r="B17" s="186" t="s">
        <v>33</v>
      </c>
      <c r="C17" s="311">
        <v>40800000</v>
      </c>
      <c r="D17" s="105">
        <f t="shared" si="0"/>
        <v>44064000</v>
      </c>
      <c r="E17" s="312">
        <v>0.05</v>
      </c>
      <c r="F17" s="313">
        <v>0</v>
      </c>
      <c r="G17" s="314" t="s">
        <v>132</v>
      </c>
      <c r="H17" s="313">
        <v>0</v>
      </c>
      <c r="I17" s="315">
        <v>0.05</v>
      </c>
      <c r="J17" s="317">
        <f t="shared" si="1"/>
        <v>44064000</v>
      </c>
    </row>
    <row r="18" spans="1:13" s="175" customFormat="1" ht="30" hidden="1" customHeight="1" outlineLevel="2">
      <c r="A18" s="229">
        <v>1.9</v>
      </c>
      <c r="B18" s="186" t="s">
        <v>34</v>
      </c>
      <c r="C18" s="311">
        <v>40800000</v>
      </c>
      <c r="D18" s="105">
        <f t="shared" si="0"/>
        <v>44064000</v>
      </c>
      <c r="E18" s="312">
        <v>0.05</v>
      </c>
      <c r="F18" s="313">
        <v>0</v>
      </c>
      <c r="G18" s="314" t="s">
        <v>132</v>
      </c>
      <c r="H18" s="313">
        <v>0</v>
      </c>
      <c r="I18" s="315" t="s">
        <v>132</v>
      </c>
      <c r="J18" s="316" t="s">
        <v>132</v>
      </c>
    </row>
    <row r="19" spans="1:13" s="175" customFormat="1" ht="30" hidden="1" customHeight="1" outlineLevel="2">
      <c r="A19" s="484" t="s">
        <v>402</v>
      </c>
      <c r="B19" s="495"/>
      <c r="C19" s="389" t="s">
        <v>132</v>
      </c>
      <c r="D19" s="307" t="s">
        <v>132</v>
      </c>
      <c r="E19" s="308">
        <v>0.26</v>
      </c>
      <c r="F19" s="389" t="s">
        <v>132</v>
      </c>
      <c r="G19" s="308">
        <f>E19*G9</f>
        <v>0.11700000000000001</v>
      </c>
      <c r="H19" s="304">
        <f>G19*H9</f>
        <v>46399392</v>
      </c>
      <c r="I19" s="325">
        <f>E19*I9</f>
        <v>0.13</v>
      </c>
      <c r="J19" s="310">
        <f>I19*J9</f>
        <v>57283200</v>
      </c>
    </row>
    <row r="20" spans="1:13" s="175" customFormat="1" ht="30" customHeight="1" outlineLevel="1" collapsed="1">
      <c r="A20" s="225">
        <v>2</v>
      </c>
      <c r="B20" s="210" t="s">
        <v>35</v>
      </c>
      <c r="C20" s="304">
        <v>5850000000</v>
      </c>
      <c r="D20" s="307">
        <f>SUM(D21:D32)</f>
        <v>6397704000</v>
      </c>
      <c r="E20" s="308">
        <f>SUM(E21:E32)</f>
        <v>1</v>
      </c>
      <c r="F20" s="304">
        <v>0</v>
      </c>
      <c r="G20" s="308">
        <f>SUM(G21:G32)</f>
        <v>0.35</v>
      </c>
      <c r="H20" s="304">
        <f>SUM(H21:H32)</f>
        <v>2239196400</v>
      </c>
      <c r="I20" s="309">
        <f>SUM(I21:I32)</f>
        <v>0.44999999999999996</v>
      </c>
      <c r="J20" s="310">
        <f>SUM(J21:J32)</f>
        <v>2878966800</v>
      </c>
      <c r="M20" s="319"/>
    </row>
    <row r="21" spans="1:13" s="175" customFormat="1" ht="30" hidden="1" customHeight="1" outlineLevel="2">
      <c r="A21" s="229">
        <v>2.1</v>
      </c>
      <c r="B21" s="215" t="s">
        <v>36</v>
      </c>
      <c r="C21" s="320">
        <v>592380000</v>
      </c>
      <c r="D21" s="105">
        <f t="shared" ref="D21:D32" si="2">C21*(1+0.08)</f>
        <v>639770400</v>
      </c>
      <c r="E21" s="312">
        <v>0.1</v>
      </c>
      <c r="F21" s="313">
        <v>0</v>
      </c>
      <c r="G21" s="314">
        <f>E21</f>
        <v>0.1</v>
      </c>
      <c r="H21" s="313">
        <f>D21</f>
        <v>639770400</v>
      </c>
      <c r="I21" s="315" t="s">
        <v>132</v>
      </c>
      <c r="J21" s="317" t="s">
        <v>132</v>
      </c>
    </row>
    <row r="22" spans="1:13" s="175" customFormat="1" ht="30" hidden="1" customHeight="1" outlineLevel="2">
      <c r="A22" s="229">
        <v>2.2000000000000002</v>
      </c>
      <c r="B22" s="215" t="s">
        <v>37</v>
      </c>
      <c r="C22" s="320">
        <v>592380000</v>
      </c>
      <c r="D22" s="105">
        <f t="shared" si="2"/>
        <v>639770400</v>
      </c>
      <c r="E22" s="312">
        <v>0.1</v>
      </c>
      <c r="F22" s="313">
        <v>0</v>
      </c>
      <c r="G22" s="314">
        <f>E22</f>
        <v>0.1</v>
      </c>
      <c r="H22" s="313">
        <f>D22</f>
        <v>639770400</v>
      </c>
      <c r="I22" s="315" t="s">
        <v>132</v>
      </c>
      <c r="J22" s="317" t="s">
        <v>132</v>
      </c>
    </row>
    <row r="23" spans="1:13" s="175" customFormat="1" ht="30" hidden="1" customHeight="1" outlineLevel="2">
      <c r="A23" s="229">
        <v>2.2999999999999998</v>
      </c>
      <c r="B23" s="215" t="s">
        <v>38</v>
      </c>
      <c r="C23" s="320">
        <v>296190000</v>
      </c>
      <c r="D23" s="105">
        <f t="shared" si="2"/>
        <v>319885200</v>
      </c>
      <c r="E23" s="312">
        <v>0.05</v>
      </c>
      <c r="F23" s="313">
        <v>0</v>
      </c>
      <c r="G23" s="314">
        <v>0.05</v>
      </c>
      <c r="H23" s="313">
        <f>D23</f>
        <v>319885200</v>
      </c>
      <c r="I23" s="315" t="s">
        <v>132</v>
      </c>
      <c r="J23" s="317" t="s">
        <v>132</v>
      </c>
    </row>
    <row r="24" spans="1:13" s="175" customFormat="1" ht="40.200000000000003" hidden="1" customHeight="1" outlineLevel="2">
      <c r="A24" s="229">
        <v>2.4</v>
      </c>
      <c r="B24" s="215" t="s">
        <v>39</v>
      </c>
      <c r="C24" s="320">
        <v>592380000</v>
      </c>
      <c r="D24" s="105">
        <f t="shared" si="2"/>
        <v>639770400</v>
      </c>
      <c r="E24" s="312">
        <v>0.1</v>
      </c>
      <c r="F24" s="313">
        <v>0</v>
      </c>
      <c r="G24" s="314">
        <v>0.1</v>
      </c>
      <c r="H24" s="313">
        <f>D24</f>
        <v>639770400</v>
      </c>
      <c r="I24" s="315" t="s">
        <v>132</v>
      </c>
      <c r="J24" s="317" t="s">
        <v>132</v>
      </c>
    </row>
    <row r="25" spans="1:13" s="175" customFormat="1" ht="30" hidden="1" customHeight="1" outlineLevel="2">
      <c r="A25" s="229">
        <v>2.5</v>
      </c>
      <c r="B25" s="215" t="s">
        <v>40</v>
      </c>
      <c r="C25" s="320">
        <v>592380000</v>
      </c>
      <c r="D25" s="105">
        <f t="shared" si="2"/>
        <v>639770400</v>
      </c>
      <c r="E25" s="312">
        <v>0.1</v>
      </c>
      <c r="F25" s="313">
        <v>0</v>
      </c>
      <c r="G25" s="314" t="s">
        <v>132</v>
      </c>
      <c r="H25" s="313">
        <v>0</v>
      </c>
      <c r="I25" s="315">
        <f>E25</f>
        <v>0.1</v>
      </c>
      <c r="J25" s="317">
        <f>D25</f>
        <v>639770400</v>
      </c>
    </row>
    <row r="26" spans="1:13" s="175" customFormat="1" ht="30" hidden="1" customHeight="1" outlineLevel="2">
      <c r="A26" s="229">
        <v>2.6</v>
      </c>
      <c r="B26" s="215" t="s">
        <v>41</v>
      </c>
      <c r="C26" s="320">
        <v>592380000</v>
      </c>
      <c r="D26" s="105">
        <f t="shared" si="2"/>
        <v>639770400</v>
      </c>
      <c r="E26" s="312">
        <v>0.1</v>
      </c>
      <c r="F26" s="313">
        <v>0</v>
      </c>
      <c r="G26" s="314" t="s">
        <v>132</v>
      </c>
      <c r="H26" s="313">
        <v>0</v>
      </c>
      <c r="I26" s="315">
        <v>0.1</v>
      </c>
      <c r="J26" s="317">
        <f>D26</f>
        <v>639770400</v>
      </c>
    </row>
    <row r="27" spans="1:13" s="175" customFormat="1" ht="30" hidden="1" customHeight="1" outlineLevel="2">
      <c r="A27" s="229">
        <v>2.7</v>
      </c>
      <c r="B27" s="215" t="s">
        <v>42</v>
      </c>
      <c r="C27" s="320">
        <v>296190000</v>
      </c>
      <c r="D27" s="105">
        <f t="shared" si="2"/>
        <v>319885200</v>
      </c>
      <c r="E27" s="312">
        <v>0.05</v>
      </c>
      <c r="F27" s="313">
        <v>0</v>
      </c>
      <c r="G27" s="314" t="s">
        <v>132</v>
      </c>
      <c r="H27" s="313">
        <v>0</v>
      </c>
      <c r="I27" s="315">
        <v>0.05</v>
      </c>
      <c r="J27" s="317">
        <f>D27</f>
        <v>319885200</v>
      </c>
    </row>
    <row r="28" spans="1:13" s="175" customFormat="1" ht="30" hidden="1" customHeight="1" outlineLevel="2">
      <c r="A28" s="229">
        <v>2.8</v>
      </c>
      <c r="B28" s="215" t="s">
        <v>43</v>
      </c>
      <c r="C28" s="320">
        <v>592380000</v>
      </c>
      <c r="D28" s="105">
        <f t="shared" si="2"/>
        <v>639770400</v>
      </c>
      <c r="E28" s="312">
        <v>0.1</v>
      </c>
      <c r="F28" s="313">
        <v>0</v>
      </c>
      <c r="G28" s="314" t="s">
        <v>132</v>
      </c>
      <c r="H28" s="313">
        <v>0</v>
      </c>
      <c r="I28" s="315">
        <v>0.1</v>
      </c>
      <c r="J28" s="317">
        <f>D28</f>
        <v>639770400</v>
      </c>
    </row>
    <row r="29" spans="1:13" s="175" customFormat="1" ht="30" hidden="1" customHeight="1" outlineLevel="2">
      <c r="A29" s="229">
        <v>2.9</v>
      </c>
      <c r="B29" s="215" t="s">
        <v>44</v>
      </c>
      <c r="C29" s="320">
        <v>296190000</v>
      </c>
      <c r="D29" s="105">
        <f t="shared" si="2"/>
        <v>319885200</v>
      </c>
      <c r="E29" s="312">
        <v>0.05</v>
      </c>
      <c r="F29" s="313">
        <v>0</v>
      </c>
      <c r="G29" s="314" t="s">
        <v>132</v>
      </c>
      <c r="H29" s="313">
        <v>0</v>
      </c>
      <c r="I29" s="315">
        <v>0.05</v>
      </c>
      <c r="J29" s="317">
        <f>D29</f>
        <v>319885200</v>
      </c>
    </row>
    <row r="30" spans="1:13" s="175" customFormat="1" ht="30" hidden="1" customHeight="1" outlineLevel="2">
      <c r="A30" s="321">
        <v>2.1</v>
      </c>
      <c r="B30" s="215" t="s">
        <v>45</v>
      </c>
      <c r="C30" s="320">
        <v>296190000</v>
      </c>
      <c r="D30" s="105">
        <f t="shared" si="2"/>
        <v>319885200</v>
      </c>
      <c r="E30" s="312">
        <v>0.05</v>
      </c>
      <c r="F30" s="313">
        <v>0</v>
      </c>
      <c r="G30" s="314" t="s">
        <v>132</v>
      </c>
      <c r="H30" s="313">
        <v>0</v>
      </c>
      <c r="I30" s="315">
        <v>0.05</v>
      </c>
      <c r="J30" s="317">
        <f>D29</f>
        <v>319885200</v>
      </c>
    </row>
    <row r="31" spans="1:13" s="175" customFormat="1" ht="30" hidden="1" customHeight="1" outlineLevel="2">
      <c r="A31" s="321">
        <v>2.11</v>
      </c>
      <c r="B31" s="215" t="s">
        <v>46</v>
      </c>
      <c r="C31" s="320">
        <v>592380000</v>
      </c>
      <c r="D31" s="105">
        <f t="shared" si="2"/>
        <v>639770400</v>
      </c>
      <c r="E31" s="312">
        <v>0.1</v>
      </c>
      <c r="F31" s="313">
        <v>0</v>
      </c>
      <c r="G31" s="314" t="s">
        <v>132</v>
      </c>
      <c r="H31" s="313">
        <v>0</v>
      </c>
      <c r="I31" s="315" t="s">
        <v>132</v>
      </c>
      <c r="J31" s="317" t="s">
        <v>132</v>
      </c>
    </row>
    <row r="32" spans="1:13" s="175" customFormat="1" ht="30" hidden="1" customHeight="1" outlineLevel="2">
      <c r="A32" s="321">
        <v>2.12</v>
      </c>
      <c r="B32" s="215" t="s">
        <v>47</v>
      </c>
      <c r="C32" s="320">
        <v>592380000</v>
      </c>
      <c r="D32" s="105">
        <f t="shared" si="2"/>
        <v>639770400</v>
      </c>
      <c r="E32" s="312">
        <v>0.1</v>
      </c>
      <c r="F32" s="313">
        <v>0</v>
      </c>
      <c r="G32" s="314" t="s">
        <v>132</v>
      </c>
      <c r="H32" s="313">
        <v>0</v>
      </c>
      <c r="I32" s="315" t="s">
        <v>132</v>
      </c>
      <c r="J32" s="317" t="s">
        <v>132</v>
      </c>
    </row>
    <row r="33" spans="1:13" s="175" customFormat="1" ht="30" hidden="1" customHeight="1" outlineLevel="2">
      <c r="A33" s="484" t="s">
        <v>402</v>
      </c>
      <c r="B33" s="467"/>
      <c r="C33" s="306">
        <f>E33*C20</f>
        <v>3451500000</v>
      </c>
      <c r="D33" s="307" t="s">
        <v>132</v>
      </c>
      <c r="E33" s="322">
        <v>0.59</v>
      </c>
      <c r="F33" s="304" t="s">
        <v>132</v>
      </c>
      <c r="G33" s="308">
        <f>E33*G20</f>
        <v>0.20649999999999999</v>
      </c>
      <c r="H33" s="304">
        <f>G33*H20</f>
        <v>462394056.59999996</v>
      </c>
      <c r="I33" s="309">
        <f>E33*I20</f>
        <v>0.26549999999999996</v>
      </c>
      <c r="J33" s="310">
        <f>I33*J20</f>
        <v>764365685.39999986</v>
      </c>
    </row>
    <row r="34" spans="1:13" s="175" customFormat="1" ht="30" customHeight="1" outlineLevel="1" collapsed="1">
      <c r="A34" s="225">
        <v>3</v>
      </c>
      <c r="B34" s="210" t="s">
        <v>48</v>
      </c>
      <c r="C34" s="304">
        <v>2054650000</v>
      </c>
      <c r="D34" s="307">
        <f t="shared" ref="D34:J34" si="3">SUM(D35:D45)</f>
        <v>2219022000</v>
      </c>
      <c r="E34" s="308">
        <f t="shared" si="3"/>
        <v>1</v>
      </c>
      <c r="F34" s="304">
        <f t="shared" si="3"/>
        <v>205465000</v>
      </c>
      <c r="G34" s="308">
        <f t="shared" si="3"/>
        <v>0.2</v>
      </c>
      <c r="H34" s="304">
        <f t="shared" si="3"/>
        <v>406820700</v>
      </c>
      <c r="I34" s="309">
        <f t="shared" si="3"/>
        <v>0.45000000000000007</v>
      </c>
      <c r="J34" s="310">
        <f t="shared" si="3"/>
        <v>898703910</v>
      </c>
      <c r="M34" s="330"/>
    </row>
    <row r="35" spans="1:13" s="175" customFormat="1" ht="30" hidden="1" customHeight="1" outlineLevel="2">
      <c r="A35" s="229">
        <v>3.1</v>
      </c>
      <c r="B35" s="230" t="s">
        <v>49</v>
      </c>
      <c r="C35" s="313">
        <v>205465000</v>
      </c>
      <c r="D35" s="105" t="s">
        <v>132</v>
      </c>
      <c r="E35" s="312" t="s">
        <v>132</v>
      </c>
      <c r="F35" s="313">
        <v>0</v>
      </c>
      <c r="G35" s="314">
        <v>0.1</v>
      </c>
      <c r="H35" s="313">
        <f>C35</f>
        <v>205465000</v>
      </c>
      <c r="I35" s="315"/>
      <c r="J35" s="317"/>
    </row>
    <row r="36" spans="1:13" s="175" customFormat="1" ht="30" hidden="1" customHeight="1" outlineLevel="2">
      <c r="A36" s="229">
        <v>3.2</v>
      </c>
      <c r="B36" s="230" t="s">
        <v>38</v>
      </c>
      <c r="C36" s="313">
        <v>205465000</v>
      </c>
      <c r="D36" s="105">
        <f t="shared" ref="D36:D45" si="4">C36*(1+0.08)</f>
        <v>221902200</v>
      </c>
      <c r="E36" s="312">
        <v>0.1</v>
      </c>
      <c r="F36" s="313">
        <f>C36*E36</f>
        <v>20546500</v>
      </c>
      <c r="G36" s="314">
        <f>E36</f>
        <v>0.1</v>
      </c>
      <c r="H36" s="313">
        <f>D36-F36</f>
        <v>201355700</v>
      </c>
      <c r="I36" s="315" t="s">
        <v>132</v>
      </c>
      <c r="J36" s="317" t="s">
        <v>132</v>
      </c>
    </row>
    <row r="37" spans="1:13" s="175" customFormat="1" ht="30" hidden="1" customHeight="1" outlineLevel="2">
      <c r="A37" s="229">
        <v>3.3</v>
      </c>
      <c r="B37" s="230" t="s">
        <v>39</v>
      </c>
      <c r="C37" s="313">
        <v>205465000</v>
      </c>
      <c r="D37" s="105">
        <f t="shared" si="4"/>
        <v>221902200</v>
      </c>
      <c r="E37" s="312">
        <v>0.1</v>
      </c>
      <c r="F37" s="313">
        <v>20546500</v>
      </c>
      <c r="G37" s="314" t="s">
        <v>132</v>
      </c>
      <c r="H37" s="313">
        <v>0</v>
      </c>
      <c r="I37" s="315">
        <f>E37</f>
        <v>0.1</v>
      </c>
      <c r="J37" s="317">
        <f>(C37-F37)*1.08</f>
        <v>199711980</v>
      </c>
    </row>
    <row r="38" spans="1:13" s="175" customFormat="1" ht="30" hidden="1" customHeight="1" outlineLevel="2">
      <c r="A38" s="229">
        <v>3.4</v>
      </c>
      <c r="B38" s="230" t="s">
        <v>40</v>
      </c>
      <c r="C38" s="313">
        <v>205465000</v>
      </c>
      <c r="D38" s="105">
        <f t="shared" si="4"/>
        <v>221902200</v>
      </c>
      <c r="E38" s="312">
        <v>0.1</v>
      </c>
      <c r="F38" s="313">
        <v>20546500</v>
      </c>
      <c r="G38" s="314" t="s">
        <v>132</v>
      </c>
      <c r="H38" s="313">
        <v>0</v>
      </c>
      <c r="I38" s="315">
        <f>E38</f>
        <v>0.1</v>
      </c>
      <c r="J38" s="317">
        <f>(C38-F38)*1.08</f>
        <v>199711980</v>
      </c>
    </row>
    <row r="39" spans="1:13" s="175" customFormat="1" ht="30" hidden="1" customHeight="1" outlineLevel="2">
      <c r="A39" s="229">
        <v>3.5</v>
      </c>
      <c r="B39" s="230" t="s">
        <v>42</v>
      </c>
      <c r="C39" s="313">
        <v>205465000</v>
      </c>
      <c r="D39" s="105">
        <f t="shared" si="4"/>
        <v>221902200</v>
      </c>
      <c r="E39" s="312">
        <v>0.1</v>
      </c>
      <c r="F39" s="313">
        <v>20546500</v>
      </c>
      <c r="G39" s="314" t="s">
        <v>132</v>
      </c>
      <c r="H39" s="313">
        <v>0</v>
      </c>
      <c r="I39" s="315">
        <v>0.1</v>
      </c>
      <c r="J39" s="317">
        <f>(C39-F39)*1.08</f>
        <v>199711980</v>
      </c>
    </row>
    <row r="40" spans="1:13" s="175" customFormat="1" ht="30" hidden="1" customHeight="1" outlineLevel="2">
      <c r="A40" s="229">
        <v>3.6</v>
      </c>
      <c r="B40" s="230" t="s">
        <v>41</v>
      </c>
      <c r="C40" s="313">
        <v>308197500</v>
      </c>
      <c r="D40" s="105">
        <f t="shared" si="4"/>
        <v>332853300</v>
      </c>
      <c r="E40" s="312">
        <v>0.15</v>
      </c>
      <c r="F40" s="313">
        <v>30819750</v>
      </c>
      <c r="G40" s="314" t="s">
        <v>132</v>
      </c>
      <c r="H40" s="313">
        <v>0</v>
      </c>
      <c r="I40" s="315">
        <v>0.15</v>
      </c>
      <c r="J40" s="317">
        <f>(C40-F40)*1.08</f>
        <v>299567970</v>
      </c>
    </row>
    <row r="41" spans="1:13" s="175" customFormat="1" ht="30" hidden="1" customHeight="1" outlineLevel="2">
      <c r="A41" s="229">
        <v>3.7</v>
      </c>
      <c r="B41" s="230" t="s">
        <v>43</v>
      </c>
      <c r="C41" s="313">
        <v>205465000</v>
      </c>
      <c r="D41" s="105">
        <f t="shared" si="4"/>
        <v>221902200</v>
      </c>
      <c r="E41" s="312">
        <v>0.1</v>
      </c>
      <c r="F41" s="313">
        <v>20546500</v>
      </c>
      <c r="G41" s="314" t="s">
        <v>132</v>
      </c>
      <c r="H41" s="313">
        <v>0</v>
      </c>
      <c r="I41" s="315" t="s">
        <v>132</v>
      </c>
      <c r="J41" s="317" t="s">
        <v>132</v>
      </c>
    </row>
    <row r="42" spans="1:13" s="175" customFormat="1" ht="30" hidden="1" customHeight="1" outlineLevel="2">
      <c r="A42" s="229">
        <v>3.8</v>
      </c>
      <c r="B42" s="230" t="s">
        <v>44</v>
      </c>
      <c r="C42" s="313">
        <v>102732500</v>
      </c>
      <c r="D42" s="105">
        <f t="shared" si="4"/>
        <v>110951100</v>
      </c>
      <c r="E42" s="312">
        <v>0.05</v>
      </c>
      <c r="F42" s="313">
        <v>10273250</v>
      </c>
      <c r="G42" s="314" t="s">
        <v>132</v>
      </c>
      <c r="H42" s="313">
        <v>0</v>
      </c>
      <c r="I42" s="315" t="s">
        <v>132</v>
      </c>
      <c r="J42" s="317" t="s">
        <v>132</v>
      </c>
    </row>
    <row r="43" spans="1:13" s="175" customFormat="1" ht="30" hidden="1" customHeight="1" outlineLevel="2">
      <c r="A43" s="229">
        <v>3.9</v>
      </c>
      <c r="B43" s="230" t="s">
        <v>45</v>
      </c>
      <c r="C43" s="313">
        <v>205465000</v>
      </c>
      <c r="D43" s="105">
        <f t="shared" si="4"/>
        <v>221902200</v>
      </c>
      <c r="E43" s="312">
        <v>0.1</v>
      </c>
      <c r="F43" s="313">
        <v>20546500</v>
      </c>
      <c r="G43" s="314" t="s">
        <v>132</v>
      </c>
      <c r="H43" s="313">
        <v>0</v>
      </c>
      <c r="I43" s="315" t="s">
        <v>132</v>
      </c>
      <c r="J43" s="317" t="s">
        <v>132</v>
      </c>
    </row>
    <row r="44" spans="1:13" s="175" customFormat="1" ht="30" hidden="1" customHeight="1" outlineLevel="2">
      <c r="A44" s="229">
        <v>4</v>
      </c>
      <c r="B44" s="230" t="s">
        <v>46</v>
      </c>
      <c r="C44" s="313">
        <v>205465000</v>
      </c>
      <c r="D44" s="105">
        <f t="shared" si="4"/>
        <v>221902200</v>
      </c>
      <c r="E44" s="312">
        <v>0.1</v>
      </c>
      <c r="F44" s="313">
        <v>41093000</v>
      </c>
      <c r="G44" s="314" t="s">
        <v>132</v>
      </c>
      <c r="H44" s="313">
        <v>0</v>
      </c>
      <c r="I44" s="315" t="s">
        <v>132</v>
      </c>
      <c r="J44" s="317" t="s">
        <v>132</v>
      </c>
    </row>
    <row r="45" spans="1:13" s="175" customFormat="1" ht="30" hidden="1" customHeight="1" outlineLevel="2">
      <c r="A45" s="229">
        <v>4.0999999999999996</v>
      </c>
      <c r="B45" s="230" t="s">
        <v>50</v>
      </c>
      <c r="C45" s="313">
        <v>205465000</v>
      </c>
      <c r="D45" s="105">
        <f t="shared" si="4"/>
        <v>221902200</v>
      </c>
      <c r="E45" s="312">
        <v>0.1</v>
      </c>
      <c r="F45" s="313">
        <v>0</v>
      </c>
      <c r="G45" s="314" t="s">
        <v>132</v>
      </c>
      <c r="H45" s="313">
        <v>0</v>
      </c>
      <c r="I45" s="315" t="s">
        <v>132</v>
      </c>
      <c r="J45" s="317" t="s">
        <v>132</v>
      </c>
    </row>
    <row r="46" spans="1:13" s="175" customFormat="1" ht="30" hidden="1" customHeight="1" outlineLevel="2">
      <c r="A46" s="484" t="s">
        <v>402</v>
      </c>
      <c r="B46" s="467"/>
      <c r="C46" s="306">
        <f>E46*C34</f>
        <v>719127500</v>
      </c>
      <c r="D46" s="307" t="s">
        <v>132</v>
      </c>
      <c r="E46" s="322">
        <v>0.35</v>
      </c>
      <c r="F46" s="304" t="s">
        <v>132</v>
      </c>
      <c r="G46" s="308">
        <f>E46*G34</f>
        <v>6.9999999999999993E-2</v>
      </c>
      <c r="H46" s="304">
        <f>G46*H35</f>
        <v>14382549.999999998</v>
      </c>
      <c r="I46" s="309">
        <f>E46*I34</f>
        <v>0.1575</v>
      </c>
      <c r="J46" s="310">
        <f>I46*J34</f>
        <v>141545865.82499999</v>
      </c>
    </row>
    <row r="47" spans="1:13" s="175" customFormat="1" ht="30" customHeight="1" outlineLevel="1" collapsed="1">
      <c r="A47" s="225" t="s">
        <v>73</v>
      </c>
      <c r="B47" s="210" t="s">
        <v>74</v>
      </c>
      <c r="C47" s="323">
        <v>1250000000</v>
      </c>
      <c r="D47" s="212">
        <f>SUM(D48:D59)</f>
        <v>1350000000</v>
      </c>
      <c r="E47" s="324">
        <f>SUM(E48:E59)</f>
        <v>1</v>
      </c>
      <c r="F47" s="323">
        <v>0</v>
      </c>
      <c r="G47" s="324">
        <f>SUM(G48:G59)</f>
        <v>0.1</v>
      </c>
      <c r="H47" s="323">
        <f>SUM(H48:H59)</f>
        <v>135000000</v>
      </c>
      <c r="I47" s="325">
        <f>SUM(I48:I59)</f>
        <v>0.49999999999999994</v>
      </c>
      <c r="J47" s="310">
        <f>SUM(J48:J59)</f>
        <v>675000000</v>
      </c>
      <c r="M47" s="330"/>
    </row>
    <row r="48" spans="1:13" s="175" customFormat="1" ht="30" hidden="1" customHeight="1" outlineLevel="2">
      <c r="A48" s="229" t="s">
        <v>75</v>
      </c>
      <c r="B48" s="215" t="s">
        <v>36</v>
      </c>
      <c r="C48" s="326">
        <v>125000000</v>
      </c>
      <c r="D48" s="106">
        <f t="shared" ref="D48:D59" si="5">C48*(1+0.08)</f>
        <v>135000000</v>
      </c>
      <c r="E48" s="327">
        <v>0.1</v>
      </c>
      <c r="F48" s="328">
        <v>0</v>
      </c>
      <c r="G48" s="329">
        <f>E48</f>
        <v>0.1</v>
      </c>
      <c r="H48" s="328">
        <f>D48</f>
        <v>135000000</v>
      </c>
      <c r="I48" s="318" t="s">
        <v>132</v>
      </c>
      <c r="J48" s="317" t="s">
        <v>132</v>
      </c>
      <c r="M48" s="330"/>
    </row>
    <row r="49" spans="1:10" s="175" customFormat="1" ht="30" hidden="1" customHeight="1" outlineLevel="2">
      <c r="A49" s="229" t="s">
        <v>76</v>
      </c>
      <c r="B49" s="215" t="s">
        <v>37</v>
      </c>
      <c r="C49" s="326">
        <v>125000000</v>
      </c>
      <c r="D49" s="106">
        <f t="shared" si="5"/>
        <v>135000000</v>
      </c>
      <c r="E49" s="327">
        <v>0.1</v>
      </c>
      <c r="F49" s="328">
        <v>0</v>
      </c>
      <c r="G49" s="329" t="s">
        <v>132</v>
      </c>
      <c r="H49" s="328">
        <v>0</v>
      </c>
      <c r="I49" s="318">
        <f t="shared" ref="I49:I54" si="6">E49</f>
        <v>0.1</v>
      </c>
      <c r="J49" s="317">
        <f t="shared" ref="J49:J54" si="7">D49</f>
        <v>135000000</v>
      </c>
    </row>
    <row r="50" spans="1:10" s="175" customFormat="1" ht="40.049999999999997" hidden="1" customHeight="1" outlineLevel="2">
      <c r="A50" s="229" t="s">
        <v>77</v>
      </c>
      <c r="B50" s="215" t="s">
        <v>78</v>
      </c>
      <c r="C50" s="326">
        <v>62500000</v>
      </c>
      <c r="D50" s="106">
        <f t="shared" si="5"/>
        <v>67500000</v>
      </c>
      <c r="E50" s="327">
        <v>0.05</v>
      </c>
      <c r="F50" s="328">
        <v>0</v>
      </c>
      <c r="G50" s="329" t="s">
        <v>132</v>
      </c>
      <c r="H50" s="328">
        <v>0</v>
      </c>
      <c r="I50" s="318">
        <f t="shared" si="6"/>
        <v>0.05</v>
      </c>
      <c r="J50" s="317">
        <f t="shared" si="7"/>
        <v>67500000</v>
      </c>
    </row>
    <row r="51" spans="1:10" s="175" customFormat="1" ht="30" hidden="1" customHeight="1" outlineLevel="2">
      <c r="A51" s="229" t="s">
        <v>79</v>
      </c>
      <c r="B51" s="215" t="s">
        <v>80</v>
      </c>
      <c r="C51" s="326">
        <v>125000000</v>
      </c>
      <c r="D51" s="106">
        <f t="shared" si="5"/>
        <v>135000000</v>
      </c>
      <c r="E51" s="327">
        <v>0.1</v>
      </c>
      <c r="F51" s="328">
        <v>0</v>
      </c>
      <c r="G51" s="329" t="s">
        <v>132</v>
      </c>
      <c r="H51" s="328">
        <v>0</v>
      </c>
      <c r="I51" s="318">
        <f t="shared" si="6"/>
        <v>0.1</v>
      </c>
      <c r="J51" s="317">
        <f t="shared" si="7"/>
        <v>135000000</v>
      </c>
    </row>
    <row r="52" spans="1:10" s="175" customFormat="1" ht="40.049999999999997" hidden="1" customHeight="1" outlineLevel="2">
      <c r="A52" s="229" t="s">
        <v>81</v>
      </c>
      <c r="B52" s="215" t="s">
        <v>82</v>
      </c>
      <c r="C52" s="326">
        <v>125000000</v>
      </c>
      <c r="D52" s="106">
        <f t="shared" si="5"/>
        <v>135000000</v>
      </c>
      <c r="E52" s="327">
        <v>0.1</v>
      </c>
      <c r="F52" s="328">
        <v>0</v>
      </c>
      <c r="G52" s="329" t="s">
        <v>132</v>
      </c>
      <c r="H52" s="328">
        <v>0</v>
      </c>
      <c r="I52" s="318">
        <f t="shared" si="6"/>
        <v>0.1</v>
      </c>
      <c r="J52" s="317">
        <f t="shared" si="7"/>
        <v>135000000</v>
      </c>
    </row>
    <row r="53" spans="1:10" s="175" customFormat="1" ht="30" hidden="1" customHeight="1" outlineLevel="2">
      <c r="A53" s="229" t="s">
        <v>83</v>
      </c>
      <c r="B53" s="215" t="s">
        <v>84</v>
      </c>
      <c r="C53" s="326">
        <v>125000000</v>
      </c>
      <c r="D53" s="106">
        <f t="shared" si="5"/>
        <v>135000000</v>
      </c>
      <c r="E53" s="327">
        <v>0.1</v>
      </c>
      <c r="F53" s="328">
        <v>0</v>
      </c>
      <c r="G53" s="329" t="s">
        <v>132</v>
      </c>
      <c r="H53" s="328">
        <v>0</v>
      </c>
      <c r="I53" s="318">
        <f t="shared" si="6"/>
        <v>0.1</v>
      </c>
      <c r="J53" s="317">
        <f t="shared" si="7"/>
        <v>135000000</v>
      </c>
    </row>
    <row r="54" spans="1:10" s="175" customFormat="1" ht="30" hidden="1" customHeight="1" outlineLevel="2">
      <c r="A54" s="229" t="s">
        <v>85</v>
      </c>
      <c r="B54" s="215" t="s">
        <v>86</v>
      </c>
      <c r="C54" s="326">
        <v>62500000</v>
      </c>
      <c r="D54" s="106">
        <f t="shared" si="5"/>
        <v>67500000</v>
      </c>
      <c r="E54" s="327">
        <v>0.05</v>
      </c>
      <c r="F54" s="328">
        <v>0</v>
      </c>
      <c r="G54" s="329" t="s">
        <v>132</v>
      </c>
      <c r="H54" s="328">
        <v>0</v>
      </c>
      <c r="I54" s="318">
        <f t="shared" si="6"/>
        <v>0.05</v>
      </c>
      <c r="J54" s="317">
        <f t="shared" si="7"/>
        <v>67500000</v>
      </c>
    </row>
    <row r="55" spans="1:10" s="175" customFormat="1" ht="30" hidden="1" customHeight="1" outlineLevel="2">
      <c r="A55" s="229" t="s">
        <v>87</v>
      </c>
      <c r="B55" s="215" t="s">
        <v>88</v>
      </c>
      <c r="C55" s="326">
        <v>125000000</v>
      </c>
      <c r="D55" s="106">
        <f t="shared" si="5"/>
        <v>135000000</v>
      </c>
      <c r="E55" s="327">
        <v>0.1</v>
      </c>
      <c r="F55" s="328">
        <v>0</v>
      </c>
      <c r="G55" s="329" t="s">
        <v>132</v>
      </c>
      <c r="H55" s="328">
        <v>0</v>
      </c>
      <c r="I55" s="318" t="s">
        <v>132</v>
      </c>
      <c r="J55" s="317" t="s">
        <v>132</v>
      </c>
    </row>
    <row r="56" spans="1:10" s="175" customFormat="1" ht="40.049999999999997" hidden="1" customHeight="1" outlineLevel="2">
      <c r="A56" s="229" t="s">
        <v>89</v>
      </c>
      <c r="B56" s="215" t="s">
        <v>90</v>
      </c>
      <c r="C56" s="326">
        <v>62500000</v>
      </c>
      <c r="D56" s="106">
        <f t="shared" si="5"/>
        <v>67500000</v>
      </c>
      <c r="E56" s="327">
        <v>0.05</v>
      </c>
      <c r="F56" s="328">
        <v>0</v>
      </c>
      <c r="G56" s="329" t="s">
        <v>132</v>
      </c>
      <c r="H56" s="328">
        <v>0</v>
      </c>
      <c r="I56" s="318" t="s">
        <v>132</v>
      </c>
      <c r="J56" s="317" t="s">
        <v>132</v>
      </c>
    </row>
    <row r="57" spans="1:10" s="175" customFormat="1" ht="40.049999999999997" hidden="1" customHeight="1" outlineLevel="2">
      <c r="A57" s="229" t="s">
        <v>91</v>
      </c>
      <c r="B57" s="215" t="s">
        <v>92</v>
      </c>
      <c r="C57" s="326">
        <v>62500000</v>
      </c>
      <c r="D57" s="106">
        <f t="shared" si="5"/>
        <v>67500000</v>
      </c>
      <c r="E57" s="327">
        <v>0.05</v>
      </c>
      <c r="F57" s="328">
        <v>0</v>
      </c>
      <c r="G57" s="329" t="s">
        <v>132</v>
      </c>
      <c r="H57" s="328">
        <v>0</v>
      </c>
      <c r="I57" s="318" t="s">
        <v>132</v>
      </c>
      <c r="J57" s="317" t="s">
        <v>132</v>
      </c>
    </row>
    <row r="58" spans="1:10" s="175" customFormat="1" ht="30" hidden="1" customHeight="1" outlineLevel="2">
      <c r="A58" s="229" t="s">
        <v>93</v>
      </c>
      <c r="B58" s="215" t="s">
        <v>94</v>
      </c>
      <c r="C58" s="326">
        <v>125000000</v>
      </c>
      <c r="D58" s="106">
        <f t="shared" si="5"/>
        <v>135000000</v>
      </c>
      <c r="E58" s="327">
        <v>0.1</v>
      </c>
      <c r="F58" s="328">
        <v>0</v>
      </c>
      <c r="G58" s="329" t="s">
        <v>132</v>
      </c>
      <c r="H58" s="328">
        <v>0</v>
      </c>
      <c r="I58" s="318" t="s">
        <v>132</v>
      </c>
      <c r="J58" s="317" t="s">
        <v>132</v>
      </c>
    </row>
    <row r="59" spans="1:10" s="175" customFormat="1" ht="30" hidden="1" customHeight="1" outlineLevel="2">
      <c r="A59" s="229" t="s">
        <v>95</v>
      </c>
      <c r="B59" s="215" t="s">
        <v>96</v>
      </c>
      <c r="C59" s="326">
        <v>125000000</v>
      </c>
      <c r="D59" s="106">
        <f t="shared" si="5"/>
        <v>135000000</v>
      </c>
      <c r="E59" s="327">
        <v>0.1</v>
      </c>
      <c r="F59" s="328">
        <v>0</v>
      </c>
      <c r="G59" s="329" t="s">
        <v>132</v>
      </c>
      <c r="H59" s="328">
        <v>0</v>
      </c>
      <c r="I59" s="318" t="s">
        <v>132</v>
      </c>
      <c r="J59" s="317" t="s">
        <v>132</v>
      </c>
    </row>
    <row r="60" spans="1:10" s="175" customFormat="1" ht="30" hidden="1" customHeight="1" outlineLevel="2">
      <c r="A60" s="484" t="s">
        <v>402</v>
      </c>
      <c r="B60" s="499"/>
      <c r="C60" s="331">
        <f>E60*C47</f>
        <v>312500000</v>
      </c>
      <c r="D60" s="212" t="s">
        <v>132</v>
      </c>
      <c r="E60" s="332">
        <v>0.25</v>
      </c>
      <c r="F60" s="323" t="s">
        <v>132</v>
      </c>
      <c r="G60" s="324">
        <f>E60*G47</f>
        <v>2.5000000000000001E-2</v>
      </c>
      <c r="H60" s="323">
        <f>G60*H47</f>
        <v>3375000</v>
      </c>
      <c r="I60" s="325">
        <f>E60*I47</f>
        <v>0.12499999999999999</v>
      </c>
      <c r="J60" s="310">
        <f>I60*J47</f>
        <v>84374999.999999985</v>
      </c>
    </row>
    <row r="61" spans="1:10" s="175" customFormat="1" ht="30" customHeight="1" outlineLevel="1" collapsed="1">
      <c r="A61" s="225" t="s">
        <v>97</v>
      </c>
      <c r="B61" s="210" t="s">
        <v>98</v>
      </c>
      <c r="C61" s="323">
        <v>10584000000</v>
      </c>
      <c r="D61" s="212">
        <f t="shared" ref="D61" si="8">SUM(D62:D74)</f>
        <v>11430720000</v>
      </c>
      <c r="E61" s="324">
        <f t="shared" ref="E61" si="9">SUM(E62:E74)</f>
        <v>1</v>
      </c>
      <c r="F61" s="323">
        <f t="shared" ref="F61" si="10">SUM(F62:F74)</f>
        <v>529200000</v>
      </c>
      <c r="G61" s="324">
        <f t="shared" ref="G61" si="11">SUM(G62:G74)</f>
        <v>0.05</v>
      </c>
      <c r="H61" s="323">
        <f t="shared" ref="H61" si="12">SUM(H62:H74)</f>
        <v>529200000</v>
      </c>
      <c r="I61" s="325">
        <f t="shared" ref="I61" si="13">SUM(I62:I74)</f>
        <v>0.6</v>
      </c>
      <c r="J61" s="310">
        <f t="shared" ref="J61" si="14">SUM(J62:J74)</f>
        <v>6540912000</v>
      </c>
    </row>
    <row r="62" spans="1:10" s="175" customFormat="1" ht="30" hidden="1" customHeight="1" outlineLevel="2">
      <c r="A62" s="229" t="s">
        <v>99</v>
      </c>
      <c r="B62" s="230" t="s">
        <v>49</v>
      </c>
      <c r="C62" s="328">
        <v>529200000</v>
      </c>
      <c r="D62" s="106" t="s">
        <v>132</v>
      </c>
      <c r="E62" s="327" t="s">
        <v>132</v>
      </c>
      <c r="F62" s="328">
        <v>0</v>
      </c>
      <c r="G62" s="329">
        <v>0.05</v>
      </c>
      <c r="H62" s="328">
        <f>C62</f>
        <v>529200000</v>
      </c>
      <c r="I62" s="318"/>
      <c r="J62" s="317"/>
    </row>
    <row r="63" spans="1:10" s="175" customFormat="1" ht="30" hidden="1" customHeight="1" outlineLevel="2">
      <c r="A63" s="229" t="s">
        <v>100</v>
      </c>
      <c r="B63" s="230" t="s">
        <v>36</v>
      </c>
      <c r="C63" s="328">
        <v>1058400000</v>
      </c>
      <c r="D63" s="106">
        <f t="shared" ref="D63:D74" si="15">C63*(1+0.08)</f>
        <v>1143072000</v>
      </c>
      <c r="E63" s="327">
        <v>0.1</v>
      </c>
      <c r="F63" s="328">
        <f>E63*C62</f>
        <v>52920000</v>
      </c>
      <c r="G63" s="329" t="s">
        <v>132</v>
      </c>
      <c r="H63" s="328">
        <v>0</v>
      </c>
      <c r="I63" s="318">
        <f t="shared" ref="I63:I69" si="16">E63</f>
        <v>0.1</v>
      </c>
      <c r="J63" s="317">
        <f>D63-F63</f>
        <v>1090152000</v>
      </c>
    </row>
    <row r="64" spans="1:10" s="175" customFormat="1" ht="30" hidden="1" customHeight="1" outlineLevel="2">
      <c r="A64" s="229" t="s">
        <v>101</v>
      </c>
      <c r="B64" s="230" t="s">
        <v>37</v>
      </c>
      <c r="C64" s="328">
        <v>1058400000</v>
      </c>
      <c r="D64" s="106">
        <f t="shared" si="15"/>
        <v>1143072000</v>
      </c>
      <c r="E64" s="327">
        <v>0.1</v>
      </c>
      <c r="F64" s="328">
        <f>E64*C62</f>
        <v>52920000</v>
      </c>
      <c r="G64" s="329" t="s">
        <v>132</v>
      </c>
      <c r="H64" s="328">
        <v>0</v>
      </c>
      <c r="I64" s="318">
        <f t="shared" si="16"/>
        <v>0.1</v>
      </c>
      <c r="J64" s="317">
        <f>D64-F64</f>
        <v>1090152000</v>
      </c>
    </row>
    <row r="65" spans="1:27" s="175" customFormat="1" ht="40.049999999999997" hidden="1" customHeight="1" outlineLevel="2">
      <c r="A65" s="229" t="s">
        <v>102</v>
      </c>
      <c r="B65" s="230" t="s">
        <v>103</v>
      </c>
      <c r="C65" s="328">
        <v>529200000</v>
      </c>
      <c r="D65" s="106">
        <f t="shared" si="15"/>
        <v>571536000</v>
      </c>
      <c r="E65" s="327">
        <v>0.05</v>
      </c>
      <c r="F65" s="328">
        <f>E65*C62</f>
        <v>26460000</v>
      </c>
      <c r="G65" s="329" t="s">
        <v>132</v>
      </c>
      <c r="H65" s="328">
        <v>0</v>
      </c>
      <c r="I65" s="318">
        <f t="shared" si="16"/>
        <v>0.05</v>
      </c>
      <c r="J65" s="317">
        <f t="shared" ref="J65:J66" si="17">D65-F65</f>
        <v>545076000</v>
      </c>
    </row>
    <row r="66" spans="1:27" s="175" customFormat="1" ht="30" hidden="1" customHeight="1" outlineLevel="2">
      <c r="A66" s="229" t="s">
        <v>104</v>
      </c>
      <c r="B66" s="230" t="s">
        <v>105</v>
      </c>
      <c r="C66" s="328">
        <v>1058400000</v>
      </c>
      <c r="D66" s="106">
        <f t="shared" si="15"/>
        <v>1143072000</v>
      </c>
      <c r="E66" s="327">
        <v>0.1</v>
      </c>
      <c r="F66" s="328">
        <f>E66*C62</f>
        <v>52920000</v>
      </c>
      <c r="G66" s="329" t="s">
        <v>132</v>
      </c>
      <c r="H66" s="328">
        <v>0</v>
      </c>
      <c r="I66" s="318">
        <f t="shared" si="16"/>
        <v>0.1</v>
      </c>
      <c r="J66" s="317">
        <f t="shared" si="17"/>
        <v>1090152000</v>
      </c>
    </row>
    <row r="67" spans="1:27" s="175" customFormat="1" ht="40.049999999999997" hidden="1" customHeight="1" outlineLevel="2">
      <c r="A67" s="229" t="s">
        <v>106</v>
      </c>
      <c r="B67" s="230" t="s">
        <v>107</v>
      </c>
      <c r="C67" s="328">
        <v>1058400000</v>
      </c>
      <c r="D67" s="106">
        <f t="shared" si="15"/>
        <v>1143072000</v>
      </c>
      <c r="E67" s="327">
        <v>0.1</v>
      </c>
      <c r="F67" s="328">
        <f>E67*C62</f>
        <v>52920000</v>
      </c>
      <c r="G67" s="329" t="s">
        <v>132</v>
      </c>
      <c r="H67" s="328">
        <v>0</v>
      </c>
      <c r="I67" s="318">
        <f t="shared" si="16"/>
        <v>0.1</v>
      </c>
      <c r="J67" s="317">
        <f>D67-F67</f>
        <v>1090152000</v>
      </c>
    </row>
    <row r="68" spans="1:27" s="175" customFormat="1" ht="30" hidden="1" customHeight="1" outlineLevel="2">
      <c r="A68" s="229" t="s">
        <v>108</v>
      </c>
      <c r="B68" s="230" t="s">
        <v>109</v>
      </c>
      <c r="C68" s="328">
        <v>1058400000</v>
      </c>
      <c r="D68" s="106">
        <f t="shared" si="15"/>
        <v>1143072000</v>
      </c>
      <c r="E68" s="327">
        <v>0.1</v>
      </c>
      <c r="F68" s="328">
        <f>E68*C62</f>
        <v>52920000</v>
      </c>
      <c r="G68" s="329" t="s">
        <v>132</v>
      </c>
      <c r="H68" s="328">
        <v>0</v>
      </c>
      <c r="I68" s="318">
        <f t="shared" si="16"/>
        <v>0.1</v>
      </c>
      <c r="J68" s="317">
        <f>D68-F68</f>
        <v>1090152000</v>
      </c>
    </row>
    <row r="69" spans="1:27" s="175" customFormat="1" ht="30" hidden="1" customHeight="1" outlineLevel="2">
      <c r="A69" s="229" t="s">
        <v>110</v>
      </c>
      <c r="B69" s="230" t="s">
        <v>111</v>
      </c>
      <c r="C69" s="328">
        <v>529200000</v>
      </c>
      <c r="D69" s="106">
        <f t="shared" si="15"/>
        <v>571536000</v>
      </c>
      <c r="E69" s="327">
        <v>0.05</v>
      </c>
      <c r="F69" s="328">
        <f>E69*C62</f>
        <v>26460000</v>
      </c>
      <c r="G69" s="329" t="s">
        <v>132</v>
      </c>
      <c r="H69" s="328">
        <v>0</v>
      </c>
      <c r="I69" s="318">
        <f t="shared" si="16"/>
        <v>0.05</v>
      </c>
      <c r="J69" s="317">
        <f>D69-F69</f>
        <v>545076000</v>
      </c>
    </row>
    <row r="70" spans="1:27" s="175" customFormat="1" ht="30" hidden="1" customHeight="1" outlineLevel="2">
      <c r="A70" s="229" t="s">
        <v>112</v>
      </c>
      <c r="B70" s="230" t="s">
        <v>113</v>
      </c>
      <c r="C70" s="328">
        <v>1058400000</v>
      </c>
      <c r="D70" s="106">
        <f t="shared" si="15"/>
        <v>1143072000</v>
      </c>
      <c r="E70" s="327">
        <v>0.1</v>
      </c>
      <c r="F70" s="328">
        <f>E70*C62</f>
        <v>52920000</v>
      </c>
      <c r="G70" s="329" t="s">
        <v>132</v>
      </c>
      <c r="H70" s="328">
        <v>0</v>
      </c>
      <c r="I70" s="318" t="s">
        <v>132</v>
      </c>
      <c r="J70" s="317" t="s">
        <v>132</v>
      </c>
    </row>
    <row r="71" spans="1:27" s="175" customFormat="1" ht="30" hidden="1" customHeight="1" outlineLevel="2">
      <c r="A71" s="229" t="s">
        <v>114</v>
      </c>
      <c r="B71" s="230" t="s">
        <v>115</v>
      </c>
      <c r="C71" s="328">
        <v>529200000</v>
      </c>
      <c r="D71" s="106">
        <f t="shared" si="15"/>
        <v>571536000</v>
      </c>
      <c r="E71" s="327">
        <v>0.05</v>
      </c>
      <c r="F71" s="328">
        <f>E71*C62</f>
        <v>26460000</v>
      </c>
      <c r="G71" s="329" t="s">
        <v>132</v>
      </c>
      <c r="H71" s="328">
        <v>0</v>
      </c>
      <c r="I71" s="318" t="s">
        <v>132</v>
      </c>
      <c r="J71" s="317" t="s">
        <v>132</v>
      </c>
    </row>
    <row r="72" spans="1:27" s="175" customFormat="1" ht="30" hidden="1" customHeight="1" outlineLevel="2">
      <c r="A72" s="229" t="s">
        <v>116</v>
      </c>
      <c r="B72" s="230" t="s">
        <v>117</v>
      </c>
      <c r="C72" s="328">
        <v>529200000</v>
      </c>
      <c r="D72" s="106">
        <f t="shared" si="15"/>
        <v>571536000</v>
      </c>
      <c r="E72" s="327">
        <v>0.05</v>
      </c>
      <c r="F72" s="328">
        <f>E72*C62</f>
        <v>26460000</v>
      </c>
      <c r="G72" s="329" t="s">
        <v>132</v>
      </c>
      <c r="H72" s="328">
        <v>0</v>
      </c>
      <c r="I72" s="318" t="s">
        <v>132</v>
      </c>
      <c r="J72" s="317" t="s">
        <v>132</v>
      </c>
    </row>
    <row r="73" spans="1:27" s="175" customFormat="1" ht="30" hidden="1" customHeight="1" outlineLevel="2">
      <c r="A73" s="229" t="s">
        <v>118</v>
      </c>
      <c r="B73" s="230" t="s">
        <v>119</v>
      </c>
      <c r="C73" s="328">
        <v>1058400000</v>
      </c>
      <c r="D73" s="106">
        <f t="shared" si="15"/>
        <v>1143072000</v>
      </c>
      <c r="E73" s="327">
        <v>0.1</v>
      </c>
      <c r="F73" s="328">
        <f>(E73+E74)*C62</f>
        <v>105840000</v>
      </c>
      <c r="G73" s="329" t="s">
        <v>132</v>
      </c>
      <c r="H73" s="328">
        <v>0</v>
      </c>
      <c r="I73" s="318" t="s">
        <v>132</v>
      </c>
      <c r="J73" s="317" t="s">
        <v>132</v>
      </c>
    </row>
    <row r="74" spans="1:27" s="175" customFormat="1" ht="30" hidden="1" customHeight="1" outlineLevel="2">
      <c r="A74" s="229" t="s">
        <v>120</v>
      </c>
      <c r="B74" s="230" t="s">
        <v>50</v>
      </c>
      <c r="C74" s="328">
        <v>1058400000</v>
      </c>
      <c r="D74" s="106">
        <f t="shared" si="15"/>
        <v>1143072000</v>
      </c>
      <c r="E74" s="327">
        <v>0.1</v>
      </c>
      <c r="F74" s="328">
        <v>0</v>
      </c>
      <c r="G74" s="329" t="s">
        <v>132</v>
      </c>
      <c r="H74" s="328">
        <v>0</v>
      </c>
      <c r="I74" s="318" t="s">
        <v>132</v>
      </c>
      <c r="J74" s="317" t="s">
        <v>132</v>
      </c>
    </row>
    <row r="75" spans="1:27" s="175" customFormat="1" ht="30" hidden="1" customHeight="1" outlineLevel="2">
      <c r="A75" s="484" t="s">
        <v>133</v>
      </c>
      <c r="B75" s="499"/>
      <c r="C75" s="331">
        <f>E75*C61</f>
        <v>7832160000</v>
      </c>
      <c r="D75" s="212" t="s">
        <v>132</v>
      </c>
      <c r="E75" s="332">
        <v>0.74</v>
      </c>
      <c r="F75" s="323" t="s">
        <v>132</v>
      </c>
      <c r="G75" s="324">
        <f>E75*G61</f>
        <v>3.6999999999999998E-2</v>
      </c>
      <c r="H75" s="323">
        <f>G75*H61</f>
        <v>19580400</v>
      </c>
      <c r="I75" s="325">
        <f>E75*I61</f>
        <v>0.44400000000000001</v>
      </c>
      <c r="J75" s="310">
        <f>I75*J61</f>
        <v>2904164928</v>
      </c>
    </row>
    <row r="76" spans="1:27" ht="30" customHeight="1">
      <c r="A76" s="298" t="s">
        <v>51</v>
      </c>
      <c r="B76" s="487" t="s">
        <v>52</v>
      </c>
      <c r="C76" s="488"/>
      <c r="D76" s="488"/>
      <c r="E76" s="488"/>
      <c r="F76" s="488"/>
      <c r="G76" s="488"/>
      <c r="H76" s="300">
        <f>SUM(C78,C84,C88)</f>
        <v>1849545280</v>
      </c>
      <c r="I76" s="299"/>
      <c r="J76" s="302">
        <f>SUM(D78,D84,D88)</f>
        <v>2977528976.8000002</v>
      </c>
      <c r="K76" s="333"/>
      <c r="L76" s="333"/>
      <c r="M76" s="334"/>
      <c r="N76" s="335"/>
      <c r="O76" s="335"/>
      <c r="P76" s="335"/>
      <c r="Q76" s="335"/>
      <c r="R76" s="335"/>
      <c r="S76" s="335"/>
      <c r="T76" s="335"/>
      <c r="U76" s="335"/>
      <c r="V76" s="335"/>
      <c r="W76" s="335"/>
      <c r="X76" s="335"/>
      <c r="Y76" s="335"/>
    </row>
    <row r="77" spans="1:27" ht="40.200000000000003" customHeight="1" outlineLevel="1">
      <c r="A77" s="303" t="s">
        <v>53</v>
      </c>
      <c r="B77" s="181" t="s">
        <v>22</v>
      </c>
      <c r="C77" s="336" t="s">
        <v>134</v>
      </c>
      <c r="D77" s="336" t="s">
        <v>135</v>
      </c>
      <c r="E77" s="181" t="s">
        <v>136</v>
      </c>
      <c r="F77" s="494" t="s">
        <v>396</v>
      </c>
      <c r="G77" s="467"/>
      <c r="H77" s="467"/>
      <c r="I77" s="467"/>
      <c r="J77" s="471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 spans="1:27" ht="24.6" customHeight="1" outlineLevel="1" collapsed="1">
      <c r="A78" s="510">
        <v>1</v>
      </c>
      <c r="B78" s="210" t="s">
        <v>55</v>
      </c>
      <c r="C78" s="181">
        <f>SUM(C79:C83)</f>
        <v>124707800</v>
      </c>
      <c r="D78" s="184">
        <f>SUM(D79:D83)</f>
        <v>6719800</v>
      </c>
      <c r="E78" s="337"/>
      <c r="F78" s="496" t="s">
        <v>400</v>
      </c>
      <c r="G78" s="497"/>
      <c r="H78" s="497"/>
      <c r="I78" s="497"/>
      <c r="J78" s="498"/>
      <c r="K78" s="338"/>
      <c r="L78" s="338"/>
      <c r="M78" s="338"/>
      <c r="N78" s="338"/>
      <c r="O78" s="338"/>
      <c r="P78" s="338"/>
      <c r="Q78" s="338"/>
      <c r="R78" s="338"/>
      <c r="S78" s="338"/>
      <c r="T78" s="338"/>
      <c r="U78" s="338"/>
      <c r="V78" s="338"/>
      <c r="W78" s="338"/>
      <c r="X78" s="338"/>
      <c r="Y78" s="338"/>
    </row>
    <row r="79" spans="1:27" ht="24.9" hidden="1" customHeight="1" outlineLevel="2">
      <c r="A79" s="501"/>
      <c r="B79" s="215" t="s">
        <v>56</v>
      </c>
      <c r="C79" s="339">
        <v>60000000</v>
      </c>
      <c r="D79" s="339"/>
      <c r="E79" s="339"/>
      <c r="F79" s="502" t="s">
        <v>397</v>
      </c>
      <c r="G79" s="492"/>
      <c r="H79" s="492"/>
      <c r="I79" s="492"/>
      <c r="J79" s="493"/>
      <c r="K79" s="50"/>
      <c r="L79" s="340"/>
      <c r="M79" s="340"/>
      <c r="N79" s="340"/>
      <c r="O79" s="341"/>
      <c r="P79" s="341"/>
      <c r="Q79" s="341"/>
      <c r="R79" s="341"/>
      <c r="S79" s="341"/>
      <c r="T79" s="341"/>
      <c r="U79" s="341"/>
      <c r="V79" s="342"/>
      <c r="W79" s="341"/>
      <c r="X79" s="341"/>
      <c r="Y79" s="341"/>
      <c r="AA79" s="343"/>
    </row>
    <row r="80" spans="1:27" ht="25.2" hidden="1" customHeight="1" outlineLevel="2">
      <c r="A80" s="501"/>
      <c r="B80" s="215" t="s">
        <v>137</v>
      </c>
      <c r="C80" s="344">
        <v>450000</v>
      </c>
      <c r="D80" s="344">
        <v>1000000</v>
      </c>
      <c r="E80" s="344"/>
      <c r="F80" s="505" t="s">
        <v>398</v>
      </c>
      <c r="G80" s="492"/>
      <c r="H80" s="492"/>
      <c r="I80" s="492"/>
      <c r="J80" s="493"/>
      <c r="K80" s="50"/>
      <c r="L80" s="340"/>
      <c r="M80" s="341"/>
      <c r="N80" s="341"/>
      <c r="O80" s="341"/>
      <c r="P80" s="341"/>
      <c r="Q80" s="341"/>
      <c r="R80" s="341"/>
      <c r="S80" s="341"/>
      <c r="T80" s="341"/>
      <c r="U80" s="341"/>
      <c r="V80" s="341"/>
      <c r="W80" s="342"/>
      <c r="X80" s="341"/>
      <c r="Y80" s="341"/>
    </row>
    <row r="81" spans="1:25" ht="25.2" hidden="1" customHeight="1" outlineLevel="2">
      <c r="A81" s="501"/>
      <c r="B81" s="215" t="s">
        <v>138</v>
      </c>
      <c r="C81" s="344">
        <v>2518800</v>
      </c>
      <c r="D81" s="345">
        <v>1579800</v>
      </c>
      <c r="E81" s="345"/>
      <c r="F81" s="491" t="s">
        <v>399</v>
      </c>
      <c r="G81" s="492"/>
      <c r="H81" s="492"/>
      <c r="I81" s="492"/>
      <c r="J81" s="493"/>
      <c r="K81" s="338"/>
      <c r="L81" s="338"/>
      <c r="M81" s="338"/>
      <c r="N81" s="338"/>
      <c r="O81" s="338"/>
      <c r="P81" s="338"/>
      <c r="Q81" s="338"/>
      <c r="R81" s="338"/>
      <c r="S81" s="338"/>
      <c r="T81" s="338"/>
      <c r="U81" s="338"/>
      <c r="V81" s="338"/>
      <c r="W81" s="342"/>
      <c r="X81" s="341"/>
      <c r="Y81" s="341"/>
    </row>
    <row r="82" spans="1:25" ht="24.9" hidden="1" customHeight="1" outlineLevel="2">
      <c r="A82" s="501"/>
      <c r="B82" s="215" t="s">
        <v>59</v>
      </c>
      <c r="C82" s="339">
        <v>4539000</v>
      </c>
      <c r="D82" s="339">
        <v>4140000</v>
      </c>
      <c r="E82" s="339"/>
      <c r="F82" s="502" t="s">
        <v>401</v>
      </c>
      <c r="G82" s="492"/>
      <c r="H82" s="492"/>
      <c r="I82" s="492"/>
      <c r="J82" s="493"/>
      <c r="K82" s="50"/>
      <c r="L82" s="340"/>
      <c r="M82" s="340"/>
      <c r="N82" s="340"/>
      <c r="O82" s="340"/>
      <c r="P82" s="340"/>
      <c r="Q82" s="341"/>
      <c r="R82" s="341"/>
      <c r="S82" s="341"/>
      <c r="T82" s="341"/>
      <c r="U82" s="341"/>
      <c r="V82" s="341"/>
      <c r="W82" s="342"/>
      <c r="X82" s="341"/>
      <c r="Y82" s="341"/>
    </row>
    <row r="83" spans="1:25" ht="24.9" hidden="1" customHeight="1" outlineLevel="2">
      <c r="A83" s="501"/>
      <c r="B83" s="215" t="s">
        <v>60</v>
      </c>
      <c r="C83" s="339">
        <v>57200000</v>
      </c>
      <c r="D83" s="339"/>
      <c r="E83" s="339"/>
      <c r="F83" s="508"/>
      <c r="G83" s="467"/>
      <c r="H83" s="467"/>
      <c r="I83" s="467"/>
      <c r="J83" s="471"/>
      <c r="K83" s="50"/>
      <c r="L83" s="50"/>
      <c r="M83" s="50"/>
      <c r="N83" s="50"/>
      <c r="O83" s="50"/>
      <c r="P83" s="50"/>
      <c r="Q83" s="50"/>
      <c r="R83" s="50"/>
      <c r="S83" s="342"/>
      <c r="T83" s="341"/>
      <c r="U83" s="341"/>
      <c r="V83" s="341"/>
      <c r="W83" s="341"/>
      <c r="X83" s="341"/>
      <c r="Y83" s="341"/>
    </row>
    <row r="84" spans="1:25" s="249" customFormat="1" ht="24.9" customHeight="1" outlineLevel="1" collapsed="1">
      <c r="A84" s="500">
        <v>2</v>
      </c>
      <c r="B84" s="210" t="s">
        <v>139</v>
      </c>
      <c r="C84" s="181">
        <f>SUM(C85:C87)</f>
        <v>1134602007</v>
      </c>
      <c r="D84" s="184">
        <f>SUM(D85:D87)</f>
        <v>1845414176.8000002</v>
      </c>
      <c r="E84" s="181"/>
      <c r="F84" s="460"/>
      <c r="G84" s="467"/>
      <c r="H84" s="467"/>
      <c r="I84" s="467"/>
      <c r="J84" s="471"/>
      <c r="K84" s="346"/>
      <c r="L84" s="347"/>
      <c r="M84" s="348"/>
      <c r="N84" s="348"/>
      <c r="O84" s="347"/>
      <c r="P84" s="347"/>
      <c r="Q84" s="347"/>
      <c r="R84" s="349"/>
      <c r="S84" s="350"/>
      <c r="T84" s="350"/>
      <c r="U84" s="350"/>
      <c r="V84" s="350"/>
      <c r="W84" s="351"/>
      <c r="X84" s="351"/>
      <c r="Y84" s="351"/>
    </row>
    <row r="85" spans="1:25" s="249" customFormat="1" ht="24.9" hidden="1" customHeight="1" outlineLevel="2">
      <c r="A85" s="501"/>
      <c r="B85" s="186" t="s">
        <v>61</v>
      </c>
      <c r="C85" s="105">
        <f>SUM(BC_DongTien_2026!F81,BC_DongTien_2026!H81,BC_DongTien_2026!J81,BC_DongTien_2026!L81,BC_DongTien_2026!N81,BC_DongTien_2026!P81,BC_DongTien_2026!R81,BC_DongTien_2026!T81,BC_DongTien_2026!V81,BC_DongTien_2026!X81)</f>
        <v>832001729</v>
      </c>
      <c r="D85" s="352">
        <f>SUM(BC_DongTien_2026!Y81,BC_DongTien_2026!AA81,BC_DongTien_2026!AC81,BC_DongTien_2026!AE81,BC_DongTien_2026!AG81)</f>
        <v>797729000</v>
      </c>
      <c r="E85" s="352"/>
      <c r="F85" s="490"/>
      <c r="G85" s="467"/>
      <c r="H85" s="467"/>
      <c r="I85" s="467"/>
      <c r="J85" s="471"/>
      <c r="K85" s="346"/>
      <c r="L85" s="347"/>
      <c r="M85" s="348"/>
      <c r="N85" s="348"/>
      <c r="O85" s="347"/>
      <c r="P85" s="347"/>
      <c r="Q85" s="347"/>
      <c r="R85" s="347"/>
      <c r="S85" s="350"/>
      <c r="T85" s="350"/>
      <c r="U85" s="350"/>
      <c r="V85" s="350"/>
      <c r="W85" s="351"/>
      <c r="X85" s="351"/>
      <c r="Y85" s="351"/>
    </row>
    <row r="86" spans="1:25" s="249" customFormat="1" ht="24.9" hidden="1" customHeight="1" outlineLevel="2">
      <c r="A86" s="501"/>
      <c r="B86" s="186" t="s">
        <v>140</v>
      </c>
      <c r="C86" s="105">
        <f>SUM(BC_DongTien_2026!J82,BC_DongTien_2026!L82,BC_DongTien_2026!N82,BC_DongTien_2026!P82,BC_DongTien_2026!R82,BC_DongTien_2026!T82,BC_DongTien_2026!T83,BC_DongTien_2026!V82,BC_DongTien_2026!V83,BC_DongTien_2026!X82,BC_DongTien_2026!X83)</f>
        <v>107475000</v>
      </c>
      <c r="D86" s="352">
        <f>SUM(BC_DongTien_2026!Y82,BC_DongTien_2026!Y83,BC_DongTien_2026!AA82,BC_DongTien_2026!AA83,BC_DongTien_2026!AC82,BC_DongTien_2026!AC83,BC_DongTien_2026!AE82,BC_DongTien_2026!AE83,BC_DongTien_2026!AG82,BC_DongTien_2026!AG83)</f>
        <v>234260000</v>
      </c>
      <c r="E86" s="352"/>
      <c r="F86" s="490"/>
      <c r="G86" s="467"/>
      <c r="H86" s="467"/>
      <c r="I86" s="467"/>
      <c r="J86" s="471"/>
      <c r="K86" s="347"/>
      <c r="L86" s="347"/>
      <c r="M86" s="347"/>
      <c r="N86" s="347"/>
      <c r="O86" s="347"/>
      <c r="P86" s="347"/>
      <c r="Q86" s="347"/>
      <c r="R86" s="347"/>
      <c r="S86" s="349"/>
      <c r="T86" s="349"/>
      <c r="U86" s="349"/>
      <c r="V86" s="349"/>
      <c r="W86" s="350"/>
      <c r="X86" s="349"/>
      <c r="Y86" s="349"/>
    </row>
    <row r="87" spans="1:25" s="249" customFormat="1" ht="24.9" hidden="1" customHeight="1" outlineLevel="2">
      <c r="A87" s="501"/>
      <c r="B87" s="186" t="s">
        <v>64</v>
      </c>
      <c r="C87" s="105">
        <f>SUM(BC_DongTien_2026!T84,BC_DongTien_2026!X84)</f>
        <v>195125278</v>
      </c>
      <c r="D87" s="105">
        <f>BC_DongTien_2026!AC86</f>
        <v>813425176.80000007</v>
      </c>
      <c r="E87" s="105"/>
      <c r="F87" s="490"/>
      <c r="G87" s="467"/>
      <c r="H87" s="467"/>
      <c r="I87" s="467"/>
      <c r="J87" s="471"/>
      <c r="K87" s="354"/>
      <c r="L87" s="354"/>
      <c r="M87" s="354"/>
      <c r="N87" s="354"/>
      <c r="O87" s="354"/>
      <c r="P87" s="354"/>
      <c r="Q87" s="354"/>
      <c r="R87" s="354"/>
      <c r="S87" s="354"/>
      <c r="T87" s="354"/>
      <c r="U87" s="354"/>
      <c r="V87" s="354"/>
      <c r="W87" s="354"/>
      <c r="X87" s="354"/>
      <c r="Y87" s="354"/>
    </row>
    <row r="88" spans="1:25" ht="24.9" customHeight="1" outlineLevel="1">
      <c r="A88" s="225">
        <v>3</v>
      </c>
      <c r="B88" s="210" t="s">
        <v>65</v>
      </c>
      <c r="C88" s="181">
        <f>SUM(BC_DongTien_2026!L85,BC_DongTien_2026!N85,BC_DongTien_2026!P85,BC_DongTien_2026!R85,BC_DongTien_2026!T85,BC_DongTien_2026!V85,BC_DongTien_2026!X85)</f>
        <v>590235473</v>
      </c>
      <c r="D88" s="184">
        <f>SUM(BC_DongTien_2026!Y85,BC_DongTien_2026!AA85,BC_DongTien_2026!AC85,BC_DongTien_2026!AE85,BC_DongTien_2026!AG85)</f>
        <v>1125395000</v>
      </c>
      <c r="E88" s="183"/>
      <c r="F88" s="460"/>
      <c r="G88" s="467"/>
      <c r="H88" s="467"/>
      <c r="I88" s="467"/>
      <c r="J88" s="471"/>
      <c r="K88" s="346"/>
      <c r="L88" s="355"/>
      <c r="M88" s="347"/>
      <c r="N88" s="348"/>
      <c r="O88" s="347"/>
      <c r="P88" s="347"/>
      <c r="Q88" s="347"/>
      <c r="R88" s="347"/>
      <c r="S88" s="356"/>
      <c r="T88" s="356"/>
      <c r="U88" s="356"/>
      <c r="V88" s="356"/>
      <c r="W88" s="356"/>
      <c r="X88" s="356"/>
      <c r="Y88" s="356"/>
    </row>
    <row r="89" spans="1:25" ht="30" customHeight="1" collapsed="1">
      <c r="A89" s="357" t="s">
        <v>66</v>
      </c>
      <c r="B89" s="503" t="s">
        <v>141</v>
      </c>
      <c r="C89" s="504"/>
      <c r="D89" s="504"/>
      <c r="E89" s="504"/>
      <c r="F89" s="504"/>
      <c r="G89" s="504"/>
      <c r="H89" s="359">
        <f>H7-H76</f>
        <v>1857247820</v>
      </c>
      <c r="I89" s="358"/>
      <c r="J89" s="360">
        <f>J7-J76</f>
        <v>8456693733.1999998</v>
      </c>
    </row>
    <row r="90" spans="1:25" ht="30" customHeight="1">
      <c r="A90" s="357" t="s">
        <v>68</v>
      </c>
      <c r="B90" s="503" t="s">
        <v>142</v>
      </c>
      <c r="C90" s="467"/>
      <c r="D90" s="467"/>
      <c r="E90" s="467"/>
      <c r="F90" s="467"/>
      <c r="G90" s="467"/>
      <c r="H90" s="390">
        <f>H89/H7</f>
        <v>0.50103897625146654</v>
      </c>
      <c r="I90" s="358"/>
      <c r="J90" s="361">
        <f>J89/J7</f>
        <v>0.73959498145895397</v>
      </c>
    </row>
    <row r="91" spans="1:25" s="276" customFormat="1" ht="30" customHeight="1" collapsed="1">
      <c r="A91" s="362" t="s">
        <v>70</v>
      </c>
      <c r="B91" s="469" t="s">
        <v>405</v>
      </c>
      <c r="C91" s="467"/>
      <c r="D91" s="467"/>
      <c r="E91" s="467"/>
      <c r="F91" s="467"/>
      <c r="G91" s="467"/>
      <c r="H91" s="392">
        <f>C99</f>
        <v>85127556.890000001</v>
      </c>
      <c r="I91" s="363"/>
      <c r="J91" s="364">
        <f>D99</f>
        <v>606920405.17499995</v>
      </c>
    </row>
    <row r="92" spans="1:25" s="276" customFormat="1" ht="30" hidden="1" customHeight="1" outlineLevel="1">
      <c r="A92" s="506" t="s">
        <v>406</v>
      </c>
      <c r="B92" s="273" t="s">
        <v>67</v>
      </c>
      <c r="C92" s="387"/>
      <c r="D92" s="387"/>
      <c r="E92" s="387"/>
      <c r="F92" s="387"/>
      <c r="G92" s="387"/>
      <c r="H92" s="439"/>
      <c r="I92" s="440"/>
      <c r="J92" s="441"/>
    </row>
    <row r="93" spans="1:25" s="276" customFormat="1" ht="39.9" hidden="1" customHeight="1" outlineLevel="1" collapsed="1">
      <c r="A93" s="506"/>
      <c r="B93" s="234" t="s">
        <v>403</v>
      </c>
      <c r="C93" s="336" t="s">
        <v>134</v>
      </c>
      <c r="D93" s="336" t="s">
        <v>135</v>
      </c>
      <c r="E93" s="248"/>
      <c r="F93" s="387"/>
      <c r="G93" s="387"/>
      <c r="H93" s="387"/>
      <c r="I93" s="387"/>
      <c r="J93" s="388"/>
    </row>
    <row r="94" spans="1:25" s="276" customFormat="1" ht="24.9" hidden="1" customHeight="1" outlineLevel="2">
      <c r="A94" s="474"/>
      <c r="B94" s="215" t="s">
        <v>25</v>
      </c>
      <c r="C94" s="353">
        <f>H19*20%</f>
        <v>9279878.4000000004</v>
      </c>
      <c r="D94" s="365">
        <f>J19*20%</f>
        <v>11456640</v>
      </c>
      <c r="E94" s="442"/>
      <c r="F94" s="387"/>
      <c r="G94" s="387"/>
      <c r="H94" s="387"/>
      <c r="I94" s="387"/>
      <c r="J94" s="388"/>
    </row>
    <row r="95" spans="1:25" s="276" customFormat="1" ht="24.9" hidden="1" customHeight="1" outlineLevel="2">
      <c r="A95" s="475"/>
      <c r="B95" s="215" t="s">
        <v>35</v>
      </c>
      <c r="C95" s="353">
        <f>H33*15%</f>
        <v>69359108.489999995</v>
      </c>
      <c r="D95" s="365">
        <f>J33*15%</f>
        <v>114654852.80999997</v>
      </c>
      <c r="E95" s="442"/>
      <c r="F95" s="387"/>
      <c r="G95" s="387"/>
      <c r="H95" s="387"/>
      <c r="I95" s="387"/>
      <c r="J95" s="388"/>
    </row>
    <row r="96" spans="1:25" s="276" customFormat="1" ht="24.9" hidden="1" customHeight="1" outlineLevel="2">
      <c r="A96" s="475"/>
      <c r="B96" s="215" t="s">
        <v>48</v>
      </c>
      <c r="C96" s="353">
        <f>H46*20%</f>
        <v>2876510</v>
      </c>
      <c r="D96" s="365">
        <f>J46*20%</f>
        <v>28309173.164999999</v>
      </c>
      <c r="E96" s="442"/>
      <c r="F96" s="387"/>
      <c r="G96" s="387"/>
      <c r="H96" s="387"/>
      <c r="I96" s="387"/>
      <c r="J96" s="388"/>
    </row>
    <row r="97" spans="1:10" s="276" customFormat="1" ht="24.9" hidden="1" customHeight="1" outlineLevel="2">
      <c r="A97" s="475"/>
      <c r="B97" s="215" t="s">
        <v>74</v>
      </c>
      <c r="C97" s="353">
        <f>H60*20%</f>
        <v>675000</v>
      </c>
      <c r="D97" s="365">
        <f>J60*20%</f>
        <v>16874999.999999996</v>
      </c>
      <c r="E97" s="442"/>
      <c r="F97" s="442"/>
      <c r="G97" s="442"/>
      <c r="H97" s="442"/>
      <c r="I97" s="442"/>
      <c r="J97" s="442"/>
    </row>
    <row r="98" spans="1:10" s="276" customFormat="1" ht="24.9" hidden="1" customHeight="1" outlineLevel="2">
      <c r="A98" s="475"/>
      <c r="B98" s="215" t="s">
        <v>98</v>
      </c>
      <c r="C98" s="353">
        <f>H75*15%</f>
        <v>2937060</v>
      </c>
      <c r="D98" s="365">
        <f>J75*15%</f>
        <v>435624739.19999999</v>
      </c>
      <c r="E98" s="442"/>
      <c r="F98" s="442"/>
      <c r="G98" s="442"/>
      <c r="H98" s="442"/>
      <c r="I98" s="442"/>
      <c r="J98" s="442"/>
    </row>
    <row r="99" spans="1:10" s="276" customFormat="1" ht="24.9" hidden="1" customHeight="1" outlineLevel="2">
      <c r="A99" s="476"/>
      <c r="B99" s="234" t="s">
        <v>340</v>
      </c>
      <c r="C99" s="385">
        <f>SUM(C94:C98)</f>
        <v>85127556.890000001</v>
      </c>
      <c r="D99" s="386">
        <f>SUM(D94:D98)</f>
        <v>606920405.17499995</v>
      </c>
      <c r="E99" s="442"/>
      <c r="F99" s="387"/>
      <c r="G99" s="387"/>
      <c r="H99" s="387"/>
      <c r="I99" s="387"/>
      <c r="J99" s="388"/>
    </row>
    <row r="100" spans="1:10" s="276" customFormat="1" ht="30" hidden="1" customHeight="1" outlineLevel="1" collapsed="1">
      <c r="A100" s="443" t="s">
        <v>407</v>
      </c>
      <c r="B100" s="280" t="s">
        <v>69</v>
      </c>
      <c r="C100" s="278"/>
      <c r="D100" s="444"/>
      <c r="E100" s="445"/>
      <c r="F100" s="446"/>
      <c r="G100" s="446"/>
      <c r="H100" s="446"/>
      <c r="I100" s="446"/>
      <c r="J100" s="447"/>
    </row>
    <row r="101" spans="1:10" s="276" customFormat="1" ht="24.9" hidden="1" customHeight="1" outlineLevel="2">
      <c r="A101" s="477"/>
      <c r="B101" s="215" t="s">
        <v>408</v>
      </c>
      <c r="C101" s="353"/>
      <c r="D101" s="365"/>
      <c r="E101" s="365"/>
      <c r="F101" s="448"/>
      <c r="G101" s="448"/>
      <c r="H101" s="448"/>
      <c r="I101" s="448"/>
      <c r="J101" s="449"/>
    </row>
    <row r="102" spans="1:10" s="276" customFormat="1" ht="24.9" hidden="1" customHeight="1" outlineLevel="2">
      <c r="A102" s="478"/>
      <c r="B102" s="215" t="s">
        <v>409</v>
      </c>
      <c r="C102" s="353"/>
      <c r="D102" s="365"/>
      <c r="E102" s="365"/>
      <c r="F102" s="448"/>
      <c r="G102" s="448"/>
      <c r="H102" s="448"/>
      <c r="I102" s="448"/>
      <c r="J102" s="449"/>
    </row>
    <row r="103" spans="1:10" s="276" customFormat="1" ht="24.9" hidden="1" customHeight="1" outlineLevel="2">
      <c r="A103" s="478"/>
      <c r="B103" s="215" t="s">
        <v>410</v>
      </c>
      <c r="C103" s="353"/>
      <c r="D103" s="365"/>
      <c r="E103" s="365"/>
      <c r="F103" s="448"/>
      <c r="G103" s="448"/>
      <c r="H103" s="448"/>
      <c r="I103" s="448"/>
      <c r="J103" s="449"/>
    </row>
    <row r="104" spans="1:10" s="276" customFormat="1" ht="24.9" hidden="1" customHeight="1" outlineLevel="2">
      <c r="A104" s="478"/>
      <c r="B104" s="215" t="s">
        <v>410</v>
      </c>
      <c r="C104" s="353"/>
      <c r="D104" s="365"/>
      <c r="E104" s="365"/>
      <c r="F104" s="448"/>
      <c r="G104" s="448"/>
      <c r="H104" s="448"/>
      <c r="I104" s="448"/>
      <c r="J104" s="449"/>
    </row>
    <row r="105" spans="1:10" s="276" customFormat="1" ht="24.9" hidden="1" customHeight="1" outlineLevel="2">
      <c r="A105" s="478"/>
      <c r="B105" s="215" t="s">
        <v>411</v>
      </c>
      <c r="C105" s="353"/>
      <c r="D105" s="365"/>
      <c r="E105" s="365"/>
      <c r="F105" s="448"/>
      <c r="G105" s="448"/>
      <c r="H105" s="448"/>
      <c r="I105" s="448"/>
      <c r="J105" s="449"/>
    </row>
    <row r="106" spans="1:10" s="276" customFormat="1" ht="24.9" hidden="1" customHeight="1" outlineLevel="2">
      <c r="A106" s="478"/>
      <c r="B106" s="215" t="s">
        <v>412</v>
      </c>
      <c r="C106" s="353"/>
      <c r="D106" s="365"/>
      <c r="E106" s="365"/>
      <c r="F106" s="448"/>
      <c r="G106" s="448"/>
      <c r="H106" s="448"/>
      <c r="I106" s="448"/>
      <c r="J106" s="449"/>
    </row>
    <row r="107" spans="1:10" s="276" customFormat="1" ht="24.9" hidden="1" customHeight="1" outlineLevel="2">
      <c r="A107" s="479"/>
      <c r="B107" s="234" t="s">
        <v>340</v>
      </c>
      <c r="C107" s="385"/>
      <c r="D107" s="386"/>
      <c r="E107" s="442"/>
      <c r="F107" s="448"/>
      <c r="G107" s="448"/>
      <c r="H107" s="448"/>
      <c r="I107" s="448"/>
      <c r="J107" s="449"/>
    </row>
    <row r="108" spans="1:10" s="285" customFormat="1" ht="30" customHeight="1">
      <c r="A108" s="366" t="s">
        <v>143</v>
      </c>
      <c r="B108" s="469" t="s">
        <v>144</v>
      </c>
      <c r="C108" s="467"/>
      <c r="D108" s="367">
        <v>0.17</v>
      </c>
      <c r="E108" s="468" t="s">
        <v>145</v>
      </c>
      <c r="F108" s="467"/>
      <c r="G108" s="467"/>
      <c r="H108" s="391">
        <v>0</v>
      </c>
      <c r="I108" s="368"/>
      <c r="J108" s="364">
        <v>0</v>
      </c>
    </row>
    <row r="109" spans="1:10" s="285" customFormat="1" ht="30" customHeight="1" collapsed="1">
      <c r="A109" s="366" t="s">
        <v>146</v>
      </c>
      <c r="B109" s="511" t="s">
        <v>147</v>
      </c>
      <c r="C109" s="467"/>
      <c r="D109" s="467"/>
      <c r="E109" s="467"/>
      <c r="F109" s="467"/>
      <c r="G109" s="467"/>
      <c r="H109" s="391">
        <f>H7-H76-H91</f>
        <v>1772120263.1099999</v>
      </c>
      <c r="I109" s="368"/>
      <c r="J109" s="364">
        <f>J7-J76-J91</f>
        <v>7849773328.0249996</v>
      </c>
    </row>
    <row r="110" spans="1:10" s="285" customFormat="1" ht="30" customHeight="1">
      <c r="A110" s="366" t="s">
        <v>148</v>
      </c>
      <c r="B110" s="511" t="s">
        <v>149</v>
      </c>
      <c r="C110" s="467"/>
      <c r="D110" s="467"/>
      <c r="E110" s="467"/>
      <c r="F110" s="467"/>
      <c r="G110" s="467"/>
      <c r="H110" s="390">
        <f>H109/H7</f>
        <v>0.47807369208440575</v>
      </c>
      <c r="I110" s="368"/>
      <c r="J110" s="361">
        <f>J109/J7</f>
        <v>0.68651569303087323</v>
      </c>
    </row>
    <row r="111" spans="1:10" s="285" customFormat="1" ht="15" customHeight="1">
      <c r="A111" s="369"/>
      <c r="B111" s="370"/>
      <c r="C111" s="371"/>
      <c r="D111" s="371"/>
      <c r="E111" s="371"/>
      <c r="F111" s="371"/>
      <c r="G111" s="371"/>
      <c r="H111" s="371"/>
      <c r="I111" s="372"/>
      <c r="J111" s="373"/>
    </row>
    <row r="112" spans="1:10" s="285" customFormat="1" ht="30" customHeight="1">
      <c r="A112" s="509" t="s">
        <v>150</v>
      </c>
      <c r="B112" s="467"/>
      <c r="C112" s="467"/>
      <c r="D112" s="467"/>
      <c r="E112" s="467"/>
      <c r="F112" s="467"/>
      <c r="G112" s="467"/>
      <c r="H112" s="374"/>
      <c r="I112" s="372"/>
      <c r="J112" s="373"/>
    </row>
    <row r="113" spans="1:10" ht="24.9" customHeight="1" outlineLevel="1">
      <c r="A113" s="466" t="s">
        <v>151</v>
      </c>
      <c r="B113" s="467"/>
      <c r="C113" s="467"/>
      <c r="D113" s="507" t="s">
        <v>152</v>
      </c>
      <c r="E113" s="467"/>
      <c r="F113" s="467"/>
      <c r="G113" s="467"/>
      <c r="H113" s="467"/>
      <c r="I113" s="467"/>
      <c r="J113" s="471"/>
    </row>
    <row r="114" spans="1:10" ht="24.9" customHeight="1" outlineLevel="1">
      <c r="A114" s="466" t="s">
        <v>153</v>
      </c>
      <c r="B114" s="467"/>
      <c r="C114" s="467"/>
      <c r="D114" s="507" t="s">
        <v>154</v>
      </c>
      <c r="E114" s="467"/>
      <c r="F114" s="467"/>
      <c r="G114" s="467"/>
      <c r="H114" s="467"/>
      <c r="I114" s="467"/>
      <c r="J114" s="471"/>
    </row>
    <row r="115" spans="1:10" ht="150" customHeight="1" outlineLevel="1">
      <c r="A115" s="473"/>
      <c r="B115" s="467"/>
      <c r="C115" s="467"/>
      <c r="D115" s="470"/>
      <c r="E115" s="467"/>
      <c r="F115" s="467"/>
      <c r="G115" s="467"/>
      <c r="H115" s="467"/>
      <c r="I115" s="467"/>
      <c r="J115" s="471"/>
    </row>
    <row r="116" spans="1:10" ht="24.9" customHeight="1" outlineLevel="1" thickBot="1">
      <c r="A116" s="472" t="s">
        <v>155</v>
      </c>
      <c r="B116" s="464"/>
      <c r="C116" s="464"/>
      <c r="D116" s="463" t="s">
        <v>155</v>
      </c>
      <c r="E116" s="464"/>
      <c r="F116" s="464"/>
      <c r="G116" s="464"/>
      <c r="H116" s="464"/>
      <c r="I116" s="464"/>
      <c r="J116" s="465"/>
    </row>
    <row r="117" spans="1:10" ht="9.9" customHeight="1"/>
  </sheetData>
  <mergeCells count="44">
    <mergeCell ref="A92:A93"/>
    <mergeCell ref="D114:J114"/>
    <mergeCell ref="B90:G90"/>
    <mergeCell ref="F83:J83"/>
    <mergeCell ref="A114:C114"/>
    <mergeCell ref="A112:G112"/>
    <mergeCell ref="D113:J113"/>
    <mergeCell ref="A78:A83"/>
    <mergeCell ref="B109:G109"/>
    <mergeCell ref="B110:G110"/>
    <mergeCell ref="B89:G89"/>
    <mergeCell ref="A75:B75"/>
    <mergeCell ref="B91:G91"/>
    <mergeCell ref="F88:J88"/>
    <mergeCell ref="F84:J84"/>
    <mergeCell ref="F80:J80"/>
    <mergeCell ref="A60:B60"/>
    <mergeCell ref="A46:B46"/>
    <mergeCell ref="A84:A87"/>
    <mergeCell ref="F79:J79"/>
    <mergeCell ref="F82:J82"/>
    <mergeCell ref="A94:A99"/>
    <mergeCell ref="A101:A107"/>
    <mergeCell ref="A3:H3"/>
    <mergeCell ref="A2:H2"/>
    <mergeCell ref="A33:B33"/>
    <mergeCell ref="A6:G6"/>
    <mergeCell ref="B7:G7"/>
    <mergeCell ref="B76:G76"/>
    <mergeCell ref="A4:H4"/>
    <mergeCell ref="F85:J85"/>
    <mergeCell ref="F87:J87"/>
    <mergeCell ref="F81:J81"/>
    <mergeCell ref="F77:J77"/>
    <mergeCell ref="A19:B19"/>
    <mergeCell ref="F78:J78"/>
    <mergeCell ref="F86:J86"/>
    <mergeCell ref="D116:J116"/>
    <mergeCell ref="A113:C113"/>
    <mergeCell ref="E108:G108"/>
    <mergeCell ref="B108:C108"/>
    <mergeCell ref="D115:J115"/>
    <mergeCell ref="A116:C116"/>
    <mergeCell ref="A115:C115"/>
  </mergeCells>
  <printOptions horizontalCentered="1"/>
  <pageMargins left="0.5" right="0.3" top="0.5" bottom="0.5" header="0.3" footer="0.3"/>
  <pageSetup paperSize="9" scale="37" fitToHeight="1000" orientation="portrait" horizontalDpi="1200" verticalDpi="1200" r:id="rId1"/>
  <headerFooter>
    <oddFooter>&amp;R&amp;P</oddFooter>
  </headerFooter>
  <ignoredErrors>
    <ignoredError sqref="E9 E20 E47" formulaRange="1"/>
    <ignoredError sqref="I60 I19 I33 I75" formula="1"/>
    <ignoredError sqref="A47:A59 A61:A7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7"/>
  <sheetViews>
    <sheetView view="pageBreakPreview" zoomScale="80" zoomScaleNormal="80" zoomScaleSheetLayoutView="80" workbookViewId="0">
      <selection activeCell="D50" sqref="D50"/>
    </sheetView>
  </sheetViews>
  <sheetFormatPr defaultRowHeight="16.8" outlineLevelRow="2"/>
  <cols>
    <col min="1" max="1" width="5.6640625" style="31" customWidth="1"/>
    <col min="2" max="2" width="60.77734375" style="31" customWidth="1"/>
    <col min="3" max="5" width="10.6640625" style="32" customWidth="1"/>
    <col min="6" max="6" width="20.77734375" style="28" customWidth="1"/>
    <col min="7" max="7" width="20.77734375" style="32" customWidth="1"/>
    <col min="8" max="8" width="50.6640625" style="32" customWidth="1"/>
    <col min="9" max="9" width="2.6640625" style="31" customWidth="1"/>
    <col min="10" max="10" width="20.6640625" style="32" customWidth="1"/>
    <col min="11" max="11" width="20.6640625" style="31" customWidth="1"/>
    <col min="12" max="12" width="20.77734375" style="31" customWidth="1"/>
    <col min="13" max="13" width="8.88671875" style="31" customWidth="1"/>
    <col min="14" max="16384" width="8.88671875" style="31"/>
  </cols>
  <sheetData>
    <row r="1" spans="1:12" s="25" customFormat="1" ht="30" customHeight="1">
      <c r="B1" s="26" t="s">
        <v>156</v>
      </c>
      <c r="C1" s="27"/>
      <c r="D1" s="27"/>
      <c r="E1" s="27"/>
      <c r="F1" s="28"/>
      <c r="G1" s="28"/>
      <c r="H1" s="28"/>
      <c r="J1" s="28"/>
    </row>
    <row r="2" spans="1:12" s="25" customFormat="1" ht="39.9" customHeight="1">
      <c r="B2" s="29" t="s">
        <v>157</v>
      </c>
      <c r="C2" s="27"/>
      <c r="D2" s="27"/>
      <c r="E2" s="27"/>
      <c r="F2" s="28"/>
      <c r="G2" s="28"/>
      <c r="H2" s="30" t="s">
        <v>158</v>
      </c>
      <c r="J2" s="28"/>
    </row>
    <row r="3" spans="1:12" ht="9.9" customHeight="1" thickBot="1"/>
    <row r="4" spans="1:12" ht="40.049999999999997" customHeight="1" thickBot="1">
      <c r="A4" s="33" t="s">
        <v>159</v>
      </c>
      <c r="B4" s="34" t="s">
        <v>160</v>
      </c>
      <c r="C4" s="35" t="s">
        <v>161</v>
      </c>
      <c r="D4" s="35" t="s">
        <v>162</v>
      </c>
      <c r="E4" s="35" t="s">
        <v>163</v>
      </c>
      <c r="F4" s="35" t="s">
        <v>164</v>
      </c>
      <c r="G4" s="35" t="s">
        <v>165</v>
      </c>
      <c r="H4" s="36" t="s">
        <v>166</v>
      </c>
      <c r="J4" s="28" t="s">
        <v>167</v>
      </c>
      <c r="K4" s="28" t="s">
        <v>168</v>
      </c>
      <c r="L4" s="28" t="s">
        <v>169</v>
      </c>
    </row>
    <row r="5" spans="1:12" ht="24.9" customHeight="1">
      <c r="A5" s="37" t="s">
        <v>3</v>
      </c>
      <c r="B5" s="38" t="s">
        <v>170</v>
      </c>
      <c r="C5" s="39"/>
      <c r="D5" s="39"/>
      <c r="E5" s="39"/>
      <c r="F5" s="40"/>
      <c r="G5" s="41">
        <f>SUBTOTAL(9,G6:G8)</f>
        <v>1497648000</v>
      </c>
      <c r="H5" s="42"/>
      <c r="J5" s="43">
        <f>SUM(J6:J8)</f>
        <v>374412000</v>
      </c>
      <c r="K5" s="43">
        <f>SUM(K6:K8)</f>
        <v>299280000</v>
      </c>
      <c r="L5" s="43">
        <f>SUM(L6:L8)</f>
        <v>499216000</v>
      </c>
    </row>
    <row r="6" spans="1:12" ht="24.9" hidden="1" customHeight="1" outlineLevel="1">
      <c r="A6" s="44">
        <v>1</v>
      </c>
      <c r="B6" s="45" t="s">
        <v>171</v>
      </c>
      <c r="C6" s="46">
        <v>12</v>
      </c>
      <c r="D6" s="46">
        <v>1</v>
      </c>
      <c r="E6" s="46">
        <v>1</v>
      </c>
      <c r="F6" s="47">
        <v>1000000</v>
      </c>
      <c r="G6" s="48">
        <f>PRODUCT(C6:F6)</f>
        <v>12000000</v>
      </c>
      <c r="H6" s="515" t="s">
        <v>172</v>
      </c>
      <c r="J6" s="50">
        <f>F6*3</f>
        <v>3000000</v>
      </c>
      <c r="K6" s="50">
        <f>F6*6</f>
        <v>6000000</v>
      </c>
      <c r="L6" s="50">
        <f>F6*4</f>
        <v>4000000</v>
      </c>
    </row>
    <row r="7" spans="1:12" ht="24.9" hidden="1" customHeight="1" outlineLevel="1">
      <c r="A7" s="44">
        <v>2</v>
      </c>
      <c r="B7" s="45" t="s">
        <v>173</v>
      </c>
      <c r="C7" s="46">
        <v>12</v>
      </c>
      <c r="D7" s="46">
        <v>1</v>
      </c>
      <c r="E7" s="46">
        <v>1</v>
      </c>
      <c r="F7" s="47">
        <f>40000000*(1+60%*21.5%+50%)</f>
        <v>65160000</v>
      </c>
      <c r="G7" s="48">
        <f>PRODUCT(C7:F7)</f>
        <v>781920000</v>
      </c>
      <c r="H7" s="513"/>
      <c r="J7" s="50">
        <f>F7*3</f>
        <v>195480000</v>
      </c>
      <c r="K7" s="50">
        <f>10000000*6</f>
        <v>60000000</v>
      </c>
      <c r="L7" s="50">
        <f>F7*4</f>
        <v>260640000</v>
      </c>
    </row>
    <row r="8" spans="1:12" ht="24.9" hidden="1" customHeight="1" outlineLevel="1">
      <c r="A8" s="44">
        <v>3</v>
      </c>
      <c r="B8" s="45" t="s">
        <v>174</v>
      </c>
      <c r="C8" s="46">
        <v>12</v>
      </c>
      <c r="D8" s="46">
        <v>1</v>
      </c>
      <c r="E8" s="46">
        <v>1</v>
      </c>
      <c r="F8" s="47">
        <f>36000000*(1+60%*21.5%+50%)</f>
        <v>58644000</v>
      </c>
      <c r="G8" s="48">
        <f>PRODUCT(C8:F8)</f>
        <v>703728000</v>
      </c>
      <c r="H8" s="514"/>
      <c r="J8" s="50">
        <f>F8*3</f>
        <v>175932000</v>
      </c>
      <c r="K8" s="50">
        <f>32000000*(1+21.5%)*6</f>
        <v>233280000</v>
      </c>
      <c r="L8" s="50">
        <f>F8*4</f>
        <v>234576000</v>
      </c>
    </row>
    <row r="9" spans="1:12" ht="24.9" customHeight="1" collapsed="1">
      <c r="A9" s="51" t="s">
        <v>175</v>
      </c>
      <c r="B9" s="52" t="s">
        <v>176</v>
      </c>
      <c r="C9" s="53"/>
      <c r="D9" s="53"/>
      <c r="E9" s="53"/>
      <c r="F9" s="54"/>
      <c r="G9" s="55">
        <f>SUBTOTAL(9,G10:G15)</f>
        <v>609720000</v>
      </c>
      <c r="H9" s="56"/>
      <c r="J9" s="43">
        <f>SUM(J10:J15)</f>
        <v>73965000</v>
      </c>
      <c r="K9" s="43">
        <f>SUM(K10:K15)</f>
        <v>153930000</v>
      </c>
      <c r="L9" s="43">
        <f>SUM(L10:L15)</f>
        <v>103120000</v>
      </c>
    </row>
    <row r="10" spans="1:12" ht="24.9" hidden="1" customHeight="1" outlineLevel="1">
      <c r="A10" s="44">
        <v>1</v>
      </c>
      <c r="B10" s="57" t="s">
        <v>177</v>
      </c>
      <c r="C10" s="58">
        <v>24</v>
      </c>
      <c r="D10" s="58">
        <v>1</v>
      </c>
      <c r="E10" s="58">
        <v>1</v>
      </c>
      <c r="F10" s="47">
        <v>21000000</v>
      </c>
      <c r="G10" s="48">
        <f t="shared" ref="G10:G15" si="0">PRODUCT(C10:F10)</f>
        <v>504000000</v>
      </c>
      <c r="H10" s="49" t="s">
        <v>178</v>
      </c>
      <c r="J10" s="50">
        <f>F10*3</f>
        <v>63000000</v>
      </c>
      <c r="K10" s="50">
        <f>F10*6</f>
        <v>126000000</v>
      </c>
      <c r="L10" s="50">
        <f>F10*4</f>
        <v>84000000</v>
      </c>
    </row>
    <row r="11" spans="1:12" ht="24.9" hidden="1" customHeight="1" outlineLevel="1">
      <c r="A11" s="44">
        <v>2</v>
      </c>
      <c r="B11" s="57" t="s">
        <v>179</v>
      </c>
      <c r="C11" s="58">
        <v>24</v>
      </c>
      <c r="D11" s="58">
        <v>1</v>
      </c>
      <c r="E11" s="58">
        <v>1</v>
      </c>
      <c r="F11" s="47">
        <v>2300000</v>
      </c>
      <c r="G11" s="48">
        <f t="shared" si="0"/>
        <v>55200000</v>
      </c>
      <c r="H11" s="49" t="s">
        <v>180</v>
      </c>
      <c r="J11" s="50">
        <f>F11*3</f>
        <v>6900000</v>
      </c>
      <c r="K11" s="50">
        <f>F11*6</f>
        <v>13800000</v>
      </c>
      <c r="L11" s="50">
        <f>F11*4</f>
        <v>9200000</v>
      </c>
    </row>
    <row r="12" spans="1:12" ht="24.9" hidden="1" customHeight="1" outlineLevel="1">
      <c r="A12" s="44">
        <v>3</v>
      </c>
      <c r="B12" s="57" t="s">
        <v>181</v>
      </c>
      <c r="C12" s="58">
        <v>12</v>
      </c>
      <c r="D12" s="58">
        <v>2</v>
      </c>
      <c r="E12" s="58">
        <v>1</v>
      </c>
      <c r="F12" s="47">
        <v>750000</v>
      </c>
      <c r="G12" s="48">
        <f t="shared" si="0"/>
        <v>18000000</v>
      </c>
      <c r="H12" s="49" t="s">
        <v>182</v>
      </c>
      <c r="J12" s="50">
        <v>0</v>
      </c>
      <c r="K12" s="50">
        <f>F12*6*2</f>
        <v>9000000</v>
      </c>
      <c r="L12" s="50">
        <f>F12*6</f>
        <v>4500000</v>
      </c>
    </row>
    <row r="13" spans="1:12" ht="24.9" hidden="1" customHeight="1" outlineLevel="1">
      <c r="A13" s="44">
        <v>4</v>
      </c>
      <c r="B13" s="57" t="s">
        <v>183</v>
      </c>
      <c r="C13" s="58">
        <v>24</v>
      </c>
      <c r="D13" s="58">
        <v>1</v>
      </c>
      <c r="E13" s="58">
        <v>1</v>
      </c>
      <c r="F13" s="47">
        <v>300000</v>
      </c>
      <c r="G13" s="48">
        <f t="shared" si="0"/>
        <v>7200000</v>
      </c>
      <c r="H13" s="49" t="s">
        <v>184</v>
      </c>
      <c r="J13" s="50">
        <f>F13*3</f>
        <v>900000</v>
      </c>
      <c r="K13" s="50">
        <f>F13*6</f>
        <v>1800000</v>
      </c>
      <c r="L13" s="50">
        <f>F13*4</f>
        <v>1200000</v>
      </c>
    </row>
    <row r="14" spans="1:12" ht="24.9" hidden="1" customHeight="1" outlineLevel="1">
      <c r="A14" s="44">
        <v>5</v>
      </c>
      <c r="B14" s="57" t="s">
        <v>185</v>
      </c>
      <c r="C14" s="58">
        <v>24</v>
      </c>
      <c r="D14" s="58">
        <v>1</v>
      </c>
      <c r="E14" s="58">
        <v>1</v>
      </c>
      <c r="F14" s="47">
        <v>555000</v>
      </c>
      <c r="G14" s="48">
        <f t="shared" si="0"/>
        <v>13320000</v>
      </c>
      <c r="H14" s="49" t="s">
        <v>186</v>
      </c>
      <c r="J14" s="50">
        <f>F14*3</f>
        <v>1665000</v>
      </c>
      <c r="K14" s="50">
        <f>F14*6</f>
        <v>3330000</v>
      </c>
      <c r="L14" s="50">
        <f>F14*4</f>
        <v>2220000</v>
      </c>
    </row>
    <row r="15" spans="1:12" ht="30" hidden="1" customHeight="1" outlineLevel="1">
      <c r="A15" s="44">
        <v>6</v>
      </c>
      <c r="B15" s="57" t="s">
        <v>187</v>
      </c>
      <c r="C15" s="58">
        <v>24</v>
      </c>
      <c r="D15" s="58">
        <v>1</v>
      </c>
      <c r="E15" s="58">
        <v>1</v>
      </c>
      <c r="F15" s="47">
        <v>500000</v>
      </c>
      <c r="G15" s="48">
        <f t="shared" si="0"/>
        <v>12000000</v>
      </c>
      <c r="H15" s="49" t="s">
        <v>186</v>
      </c>
      <c r="J15" s="50">
        <f>F15*3</f>
        <v>1500000</v>
      </c>
      <c r="K15" s="50">
        <v>0</v>
      </c>
      <c r="L15" s="50">
        <f>F15*4</f>
        <v>2000000</v>
      </c>
    </row>
    <row r="16" spans="1:12" ht="24.9" customHeight="1" collapsed="1">
      <c r="A16" s="51" t="s">
        <v>188</v>
      </c>
      <c r="B16" s="52" t="s">
        <v>189</v>
      </c>
      <c r="C16" s="53"/>
      <c r="D16" s="53"/>
      <c r="E16" s="53"/>
      <c r="F16" s="54"/>
      <c r="G16" s="55">
        <f>SUBTOTAL(9,G17:G23)</f>
        <v>411600000</v>
      </c>
      <c r="H16" s="56"/>
      <c r="J16" s="43">
        <f>SUM(J17:J24)</f>
        <v>116850000</v>
      </c>
      <c r="K16" s="43">
        <f>SUM(K17:K24)</f>
        <v>168900000</v>
      </c>
      <c r="L16" s="43">
        <f>SUM(L17:L24)</f>
        <v>146300000</v>
      </c>
    </row>
    <row r="17" spans="1:12" ht="24.9" customHeight="1" outlineLevel="1">
      <c r="A17" s="44">
        <v>1</v>
      </c>
      <c r="B17" s="45" t="s">
        <v>190</v>
      </c>
      <c r="C17" s="46">
        <v>12</v>
      </c>
      <c r="D17" s="46">
        <v>1</v>
      </c>
      <c r="E17" s="46">
        <v>1</v>
      </c>
      <c r="F17" s="47">
        <v>22000000</v>
      </c>
      <c r="G17" s="48">
        <f t="shared" ref="G17:G24" si="1">PRODUCT(C17:F17)</f>
        <v>264000000</v>
      </c>
      <c r="H17" s="512" t="s">
        <v>191</v>
      </c>
      <c r="J17" s="50">
        <f>F17*3</f>
        <v>66000000</v>
      </c>
      <c r="K17" s="50">
        <f t="shared" ref="K17:K22" si="2">F17*6</f>
        <v>132000000</v>
      </c>
      <c r="L17" s="50">
        <f>F17*4</f>
        <v>88000000</v>
      </c>
    </row>
    <row r="18" spans="1:12" ht="24.9" customHeight="1" outlineLevel="1">
      <c r="A18" s="44">
        <v>2</v>
      </c>
      <c r="B18" s="45" t="s">
        <v>192</v>
      </c>
      <c r="C18" s="46">
        <v>12</v>
      </c>
      <c r="D18" s="46">
        <v>1</v>
      </c>
      <c r="E18" s="46">
        <v>1</v>
      </c>
      <c r="F18" s="47">
        <v>2500000</v>
      </c>
      <c r="G18" s="48">
        <f t="shared" si="1"/>
        <v>30000000</v>
      </c>
      <c r="H18" s="513"/>
      <c r="J18" s="50">
        <f>F18*3</f>
        <v>7500000</v>
      </c>
      <c r="K18" s="50">
        <f t="shared" si="2"/>
        <v>15000000</v>
      </c>
      <c r="L18" s="50">
        <f>F18*4</f>
        <v>10000000</v>
      </c>
    </row>
    <row r="19" spans="1:12" ht="24.9" customHeight="1" outlineLevel="1">
      <c r="A19" s="44">
        <v>3</v>
      </c>
      <c r="B19" s="45" t="s">
        <v>193</v>
      </c>
      <c r="C19" s="46">
        <v>12</v>
      </c>
      <c r="D19" s="46">
        <v>12</v>
      </c>
      <c r="E19" s="46">
        <v>1</v>
      </c>
      <c r="F19" s="47">
        <v>150000</v>
      </c>
      <c r="G19" s="48">
        <f t="shared" si="1"/>
        <v>21600000</v>
      </c>
      <c r="H19" s="514"/>
      <c r="J19" s="50">
        <f>F19*3*13</f>
        <v>5850000</v>
      </c>
      <c r="K19" s="50">
        <f t="shared" si="2"/>
        <v>900000</v>
      </c>
      <c r="L19" s="50">
        <f>F19*4*13</f>
        <v>7800000</v>
      </c>
    </row>
    <row r="20" spans="1:12" ht="24.9" customHeight="1" outlineLevel="1">
      <c r="A20" s="44">
        <v>4</v>
      </c>
      <c r="B20" s="45" t="s">
        <v>194</v>
      </c>
      <c r="C20" s="46">
        <v>12</v>
      </c>
      <c r="D20" s="46">
        <v>1</v>
      </c>
      <c r="E20" s="46">
        <v>1</v>
      </c>
      <c r="F20" s="47">
        <v>1100000</v>
      </c>
      <c r="G20" s="48">
        <f t="shared" si="1"/>
        <v>13200000</v>
      </c>
      <c r="H20" s="59" t="s">
        <v>195</v>
      </c>
      <c r="J20" s="50">
        <f>F20*3</f>
        <v>3300000</v>
      </c>
      <c r="K20" s="50">
        <f t="shared" si="2"/>
        <v>6600000</v>
      </c>
      <c r="L20" s="50">
        <f>F20*4</f>
        <v>4400000</v>
      </c>
    </row>
    <row r="21" spans="1:12" ht="24.9" customHeight="1" outlineLevel="1">
      <c r="A21" s="44">
        <v>5</v>
      </c>
      <c r="B21" s="45" t="s">
        <v>196</v>
      </c>
      <c r="C21" s="46">
        <v>12</v>
      </c>
      <c r="D21" s="46">
        <v>1</v>
      </c>
      <c r="E21" s="46">
        <v>1</v>
      </c>
      <c r="F21" s="47">
        <v>1000000</v>
      </c>
      <c r="G21" s="48">
        <f t="shared" si="1"/>
        <v>12000000</v>
      </c>
      <c r="H21" s="60" t="s">
        <v>197</v>
      </c>
      <c r="J21" s="50">
        <f>F21*3</f>
        <v>3000000</v>
      </c>
      <c r="K21" s="50">
        <f t="shared" si="2"/>
        <v>6000000</v>
      </c>
      <c r="L21" s="50">
        <f>F21*4</f>
        <v>4000000</v>
      </c>
    </row>
    <row r="22" spans="1:12" ht="49.95" customHeight="1" outlineLevel="1">
      <c r="A22" s="44">
        <v>6</v>
      </c>
      <c r="B22" s="45" t="s">
        <v>198</v>
      </c>
      <c r="C22" s="46">
        <v>12</v>
      </c>
      <c r="D22" s="46">
        <v>1</v>
      </c>
      <c r="E22" s="46">
        <v>1</v>
      </c>
      <c r="F22" s="61">
        <v>1400000</v>
      </c>
      <c r="G22" s="48">
        <f t="shared" si="1"/>
        <v>16800000</v>
      </c>
      <c r="H22" s="49" t="s">
        <v>199</v>
      </c>
      <c r="J22" s="50">
        <f>F22*3</f>
        <v>4200000</v>
      </c>
      <c r="K22" s="50">
        <f t="shared" si="2"/>
        <v>8400000</v>
      </c>
      <c r="L22" s="50">
        <f>F22*4</f>
        <v>5600000</v>
      </c>
    </row>
    <row r="23" spans="1:12" ht="39.9" customHeight="1" outlineLevel="1">
      <c r="A23" s="44">
        <v>7</v>
      </c>
      <c r="B23" s="62" t="s">
        <v>200</v>
      </c>
      <c r="C23" s="46">
        <v>12</v>
      </c>
      <c r="D23" s="46">
        <v>1</v>
      </c>
      <c r="E23" s="46">
        <v>1</v>
      </c>
      <c r="F23" s="61">
        <v>4500000</v>
      </c>
      <c r="G23" s="48">
        <f t="shared" si="1"/>
        <v>54000000</v>
      </c>
      <c r="H23" s="49" t="s">
        <v>201</v>
      </c>
      <c r="J23" s="50">
        <f>F23*6</f>
        <v>27000000</v>
      </c>
      <c r="K23" s="50">
        <v>0</v>
      </c>
      <c r="L23" s="50">
        <f>F23*1</f>
        <v>4500000</v>
      </c>
    </row>
    <row r="24" spans="1:12" ht="25.2" customHeight="1" outlineLevel="1">
      <c r="A24" s="44">
        <v>8</v>
      </c>
      <c r="B24" s="62" t="s">
        <v>202</v>
      </c>
      <c r="C24" s="46">
        <v>12</v>
      </c>
      <c r="D24" s="46">
        <v>1</v>
      </c>
      <c r="E24" s="46">
        <v>2</v>
      </c>
      <c r="F24" s="61">
        <v>5500000</v>
      </c>
      <c r="G24" s="48">
        <f t="shared" si="1"/>
        <v>132000000</v>
      </c>
      <c r="H24" s="49" t="s">
        <v>203</v>
      </c>
      <c r="J24" s="50">
        <v>0</v>
      </c>
      <c r="K24" s="50">
        <v>0</v>
      </c>
      <c r="L24" s="50">
        <f>F24*4</f>
        <v>22000000</v>
      </c>
    </row>
    <row r="25" spans="1:12" ht="25.2" customHeight="1">
      <c r="A25" s="51" t="s">
        <v>204</v>
      </c>
      <c r="B25" s="52" t="s">
        <v>205</v>
      </c>
      <c r="C25" s="519"/>
      <c r="D25" s="520"/>
      <c r="E25" s="521"/>
      <c r="F25" s="54"/>
      <c r="G25" s="55">
        <f>SUM(G26,G27,G33,G34,G35,G36,G37:G41)</f>
        <v>394840000</v>
      </c>
      <c r="H25" s="63"/>
      <c r="J25" s="43">
        <f>SUM(J26:J41)</f>
        <v>62760000</v>
      </c>
      <c r="K25" s="43">
        <f>SUM(K26:K41)</f>
        <v>116420000</v>
      </c>
      <c r="L25" s="43">
        <f>SUM(L26:L41)</f>
        <v>95680000</v>
      </c>
    </row>
    <row r="26" spans="1:12" ht="49.95" hidden="1" customHeight="1" outlineLevel="1">
      <c r="A26" s="44">
        <v>1</v>
      </c>
      <c r="B26" s="64" t="s">
        <v>206</v>
      </c>
      <c r="C26" s="58">
        <v>12</v>
      </c>
      <c r="D26" s="58">
        <v>1</v>
      </c>
      <c r="E26" s="58">
        <v>1</v>
      </c>
      <c r="F26" s="47">
        <v>720000</v>
      </c>
      <c r="G26" s="65">
        <f t="shared" ref="G26:G41" si="3">PRODUCT(C26:F26)</f>
        <v>8640000</v>
      </c>
      <c r="H26" s="49" t="s">
        <v>207</v>
      </c>
      <c r="J26" s="50">
        <f>F26*3</f>
        <v>2160000</v>
      </c>
      <c r="K26" s="50">
        <f>F26*6</f>
        <v>4320000</v>
      </c>
      <c r="L26" s="50">
        <f>F26*4</f>
        <v>2880000</v>
      </c>
    </row>
    <row r="27" spans="1:12" ht="24.9" hidden="1" customHeight="1" outlineLevel="1">
      <c r="A27" s="44">
        <v>2</v>
      </c>
      <c r="B27" s="64" t="s">
        <v>208</v>
      </c>
      <c r="C27" s="58">
        <v>4</v>
      </c>
      <c r="D27" s="58">
        <v>1</v>
      </c>
      <c r="E27" s="58">
        <v>1</v>
      </c>
      <c r="F27" s="47">
        <f>SUM(F28:F32)</f>
        <v>24100000</v>
      </c>
      <c r="G27" s="65">
        <f t="shared" si="3"/>
        <v>96400000</v>
      </c>
      <c r="H27" s="66"/>
      <c r="J27" s="50">
        <f>F27*1</f>
        <v>24100000</v>
      </c>
      <c r="K27" s="50">
        <f>F27*2</f>
        <v>48200000</v>
      </c>
      <c r="L27" s="50">
        <f>F27*1</f>
        <v>24100000</v>
      </c>
    </row>
    <row r="28" spans="1:12" ht="20.100000000000001" hidden="1" customHeight="1" outlineLevel="2">
      <c r="A28" s="44"/>
      <c r="B28" s="67" t="s">
        <v>209</v>
      </c>
      <c r="C28" s="68">
        <v>6</v>
      </c>
      <c r="D28" s="68">
        <v>1</v>
      </c>
      <c r="E28" s="68">
        <v>1</v>
      </c>
      <c r="F28" s="69">
        <f>3000000*1.1</f>
        <v>3300000.0000000005</v>
      </c>
      <c r="G28" s="70">
        <f t="shared" si="3"/>
        <v>19800000.000000004</v>
      </c>
      <c r="H28" s="515" t="s">
        <v>210</v>
      </c>
      <c r="J28" s="50"/>
      <c r="K28" s="50"/>
      <c r="L28" s="50"/>
    </row>
    <row r="29" spans="1:12" ht="20.100000000000001" hidden="1" customHeight="1" outlineLevel="2">
      <c r="A29" s="44"/>
      <c r="B29" s="67" t="s">
        <v>211</v>
      </c>
      <c r="C29" s="68">
        <v>12</v>
      </c>
      <c r="D29" s="68">
        <v>1</v>
      </c>
      <c r="E29" s="68">
        <v>1</v>
      </c>
      <c r="F29" s="69">
        <f>1000000*1.1</f>
        <v>1100000</v>
      </c>
      <c r="G29" s="70">
        <f t="shared" si="3"/>
        <v>13200000</v>
      </c>
      <c r="H29" s="513"/>
      <c r="J29" s="50"/>
      <c r="K29" s="50"/>
      <c r="L29" s="50"/>
    </row>
    <row r="30" spans="1:12" ht="20.100000000000001" hidden="1" customHeight="1" outlineLevel="2">
      <c r="A30" s="44"/>
      <c r="B30" s="67" t="s">
        <v>212</v>
      </c>
      <c r="C30" s="68">
        <v>1</v>
      </c>
      <c r="D30" s="68">
        <v>1</v>
      </c>
      <c r="E30" s="68">
        <v>8</v>
      </c>
      <c r="F30" s="69">
        <f>1000000*1.1</f>
        <v>1100000</v>
      </c>
      <c r="G30" s="70">
        <f t="shared" si="3"/>
        <v>8800000</v>
      </c>
      <c r="H30" s="513"/>
      <c r="J30" s="50"/>
      <c r="K30" s="50"/>
      <c r="L30" s="50"/>
    </row>
    <row r="31" spans="1:12" ht="20.100000000000001" hidden="1" customHeight="1" outlineLevel="2">
      <c r="A31" s="44"/>
      <c r="B31" s="67" t="s">
        <v>213</v>
      </c>
      <c r="C31" s="68">
        <v>1</v>
      </c>
      <c r="D31" s="68">
        <v>1</v>
      </c>
      <c r="E31" s="68">
        <v>1</v>
      </c>
      <c r="F31" s="69">
        <v>12000000</v>
      </c>
      <c r="G31" s="70">
        <f t="shared" si="3"/>
        <v>12000000</v>
      </c>
      <c r="H31" s="513"/>
      <c r="J31" s="50"/>
      <c r="K31" s="50"/>
      <c r="L31" s="50"/>
    </row>
    <row r="32" spans="1:12" ht="20.100000000000001" hidden="1" customHeight="1" outlineLevel="2">
      <c r="A32" s="44"/>
      <c r="B32" s="67" t="s">
        <v>214</v>
      </c>
      <c r="C32" s="68">
        <v>12</v>
      </c>
      <c r="D32" s="68">
        <v>1</v>
      </c>
      <c r="E32" s="68">
        <v>1</v>
      </c>
      <c r="F32" s="69">
        <v>6600000</v>
      </c>
      <c r="G32" s="70">
        <f t="shared" si="3"/>
        <v>79200000</v>
      </c>
      <c r="H32" s="514"/>
      <c r="J32" s="50"/>
      <c r="K32" s="50"/>
      <c r="L32" s="50"/>
    </row>
    <row r="33" spans="1:12" ht="49.95" hidden="1" customHeight="1" outlineLevel="1" collapsed="1">
      <c r="A33" s="44">
        <v>3</v>
      </c>
      <c r="B33" s="64" t="s">
        <v>215</v>
      </c>
      <c r="C33" s="58">
        <v>6</v>
      </c>
      <c r="D33" s="58">
        <v>2</v>
      </c>
      <c r="E33" s="58">
        <v>1</v>
      </c>
      <c r="F33" s="47">
        <v>4000000</v>
      </c>
      <c r="G33" s="65">
        <f t="shared" si="3"/>
        <v>48000000</v>
      </c>
      <c r="H33" s="49" t="s">
        <v>216</v>
      </c>
      <c r="J33" s="50">
        <f>F33*3</f>
        <v>12000000</v>
      </c>
      <c r="K33" s="50">
        <f>F33*6</f>
        <v>24000000</v>
      </c>
      <c r="L33" s="50">
        <f>F33*4</f>
        <v>16000000</v>
      </c>
    </row>
    <row r="34" spans="1:12" ht="60" hidden="1" customHeight="1" outlineLevel="1">
      <c r="A34" s="44">
        <v>4</v>
      </c>
      <c r="B34" s="64" t="s">
        <v>217</v>
      </c>
      <c r="C34" s="58">
        <v>1</v>
      </c>
      <c r="D34" s="58">
        <v>12</v>
      </c>
      <c r="E34" s="58">
        <v>1</v>
      </c>
      <c r="F34" s="47">
        <v>2000000</v>
      </c>
      <c r="G34" s="65">
        <f t="shared" si="3"/>
        <v>24000000</v>
      </c>
      <c r="H34" s="49" t="s">
        <v>218</v>
      </c>
      <c r="J34" s="50">
        <v>0</v>
      </c>
      <c r="K34" s="50">
        <v>0</v>
      </c>
      <c r="L34" s="50">
        <f>G34</f>
        <v>24000000</v>
      </c>
    </row>
    <row r="35" spans="1:12" ht="60" hidden="1" customHeight="1" outlineLevel="1">
      <c r="A35" s="44">
        <v>5</v>
      </c>
      <c r="B35" s="64" t="s">
        <v>219</v>
      </c>
      <c r="C35" s="58">
        <v>1</v>
      </c>
      <c r="D35" s="58">
        <v>12</v>
      </c>
      <c r="E35" s="58">
        <v>1</v>
      </c>
      <c r="F35" s="47">
        <v>2100000</v>
      </c>
      <c r="G35" s="65">
        <f t="shared" si="3"/>
        <v>25200000</v>
      </c>
      <c r="H35" s="49" t="s">
        <v>220</v>
      </c>
      <c r="J35" s="50">
        <v>0</v>
      </c>
      <c r="K35" s="50">
        <v>0</v>
      </c>
      <c r="L35" s="50">
        <f>G35</f>
        <v>25200000</v>
      </c>
    </row>
    <row r="36" spans="1:12" ht="49.95" hidden="1" customHeight="1" outlineLevel="1">
      <c r="A36" s="44">
        <v>6</v>
      </c>
      <c r="B36" s="64" t="s">
        <v>221</v>
      </c>
      <c r="C36" s="58">
        <v>2</v>
      </c>
      <c r="D36" s="58">
        <v>6</v>
      </c>
      <c r="E36" s="58">
        <v>1</v>
      </c>
      <c r="F36" s="47">
        <v>3500000</v>
      </c>
      <c r="G36" s="65">
        <f t="shared" si="3"/>
        <v>42000000</v>
      </c>
      <c r="H36" s="49" t="s">
        <v>222</v>
      </c>
      <c r="J36" s="50">
        <f>F36*1</f>
        <v>3500000</v>
      </c>
      <c r="K36" s="50">
        <f>F36*3</f>
        <v>10500000</v>
      </c>
      <c r="L36" s="50">
        <f>F36*1</f>
        <v>3500000</v>
      </c>
    </row>
    <row r="37" spans="1:12" ht="79.95" hidden="1" customHeight="1" outlineLevel="1">
      <c r="A37" s="44">
        <v>7</v>
      </c>
      <c r="B37" s="71" t="s">
        <v>223</v>
      </c>
      <c r="C37" s="58">
        <v>1</v>
      </c>
      <c r="D37" s="58">
        <v>12</v>
      </c>
      <c r="E37" s="58">
        <v>1</v>
      </c>
      <c r="F37" s="47">
        <v>1500000</v>
      </c>
      <c r="G37" s="65">
        <f t="shared" si="3"/>
        <v>18000000</v>
      </c>
      <c r="H37" s="72" t="s">
        <v>224</v>
      </c>
      <c r="J37" s="50">
        <v>0</v>
      </c>
      <c r="K37" s="50">
        <v>0</v>
      </c>
      <c r="L37" s="50">
        <v>0</v>
      </c>
    </row>
    <row r="38" spans="1:12" ht="30" hidden="1" customHeight="1" outlineLevel="1">
      <c r="A38" s="44">
        <v>8</v>
      </c>
      <c r="B38" s="64" t="s">
        <v>225</v>
      </c>
      <c r="C38" s="58">
        <v>2</v>
      </c>
      <c r="D38" s="58">
        <v>1</v>
      </c>
      <c r="E38" s="58">
        <v>6</v>
      </c>
      <c r="F38" s="47">
        <v>5000000</v>
      </c>
      <c r="G38" s="65">
        <f t="shared" si="3"/>
        <v>60000000</v>
      </c>
      <c r="H38" s="73" t="s">
        <v>226</v>
      </c>
      <c r="J38" s="50">
        <v>0</v>
      </c>
      <c r="K38" s="50">
        <v>0</v>
      </c>
      <c r="L38" s="50">
        <v>0</v>
      </c>
    </row>
    <row r="39" spans="1:12" ht="49.95" hidden="1" customHeight="1" outlineLevel="1">
      <c r="A39" s="44">
        <v>9</v>
      </c>
      <c r="B39" s="57" t="s">
        <v>227</v>
      </c>
      <c r="C39" s="58">
        <v>1</v>
      </c>
      <c r="D39" s="58">
        <v>2</v>
      </c>
      <c r="E39" s="58">
        <v>12</v>
      </c>
      <c r="F39" s="47">
        <v>1750000</v>
      </c>
      <c r="G39" s="65">
        <f t="shared" si="3"/>
        <v>42000000</v>
      </c>
      <c r="H39" s="73" t="s">
        <v>228</v>
      </c>
      <c r="J39" s="50">
        <f>F39*12</f>
        <v>21000000</v>
      </c>
      <c r="K39" s="50">
        <f>F39*12</f>
        <v>21000000</v>
      </c>
      <c r="L39" s="50">
        <v>0</v>
      </c>
    </row>
    <row r="40" spans="1:12" ht="70.2" hidden="1" customHeight="1" outlineLevel="1">
      <c r="A40" s="44">
        <v>10</v>
      </c>
      <c r="B40" s="64" t="s">
        <v>229</v>
      </c>
      <c r="C40" s="58">
        <v>1</v>
      </c>
      <c r="D40" s="58">
        <v>1</v>
      </c>
      <c r="E40" s="58">
        <v>12</v>
      </c>
      <c r="F40" s="47">
        <v>700000</v>
      </c>
      <c r="G40" s="65">
        <f t="shared" si="3"/>
        <v>8400000</v>
      </c>
      <c r="H40" s="73" t="s">
        <v>230</v>
      </c>
      <c r="J40" s="50">
        <v>0</v>
      </c>
      <c r="K40" s="50">
        <f>G40</f>
        <v>8400000</v>
      </c>
      <c r="L40" s="50">
        <v>0</v>
      </c>
    </row>
    <row r="41" spans="1:12" ht="40.049999999999997" hidden="1" customHeight="1" outlineLevel="1">
      <c r="A41" s="44">
        <v>11</v>
      </c>
      <c r="B41" s="64" t="s">
        <v>231</v>
      </c>
      <c r="C41" s="58">
        <v>1</v>
      </c>
      <c r="D41" s="58">
        <v>1</v>
      </c>
      <c r="E41" s="58">
        <v>12</v>
      </c>
      <c r="F41" s="47">
        <v>1850000</v>
      </c>
      <c r="G41" s="65">
        <f t="shared" si="3"/>
        <v>22200000</v>
      </c>
      <c r="H41" s="73" t="s">
        <v>232</v>
      </c>
      <c r="J41" s="50">
        <v>0</v>
      </c>
      <c r="K41" s="50">
        <v>0</v>
      </c>
      <c r="L41" s="50">
        <v>0</v>
      </c>
    </row>
    <row r="42" spans="1:12" s="25" customFormat="1" ht="24.9" customHeight="1" collapsed="1">
      <c r="A42" s="51" t="s">
        <v>233</v>
      </c>
      <c r="B42" s="522" t="s">
        <v>234</v>
      </c>
      <c r="C42" s="523"/>
      <c r="D42" s="523"/>
      <c r="E42" s="524"/>
      <c r="F42" s="54">
        <f>SUM(F6,F7,F8,F10,F11,F12,F13,F14,F17,F18,F19,F20,F21,F22,F26,F27,F33,F34,F35,F36,F37:F41)</f>
        <v>225079000</v>
      </c>
      <c r="G42" s="55">
        <f>SUM(G5,G9,G16,G25)</f>
        <v>2913808000</v>
      </c>
      <c r="H42" s="74"/>
      <c r="J42" s="43">
        <f>SUM(J5,J9,J16,J25)</f>
        <v>627987000</v>
      </c>
      <c r="K42" s="43">
        <f>SUM(K25,K16,K9)</f>
        <v>439250000</v>
      </c>
      <c r="L42" s="43">
        <f>SUM(L5,L9,L16,L25)</f>
        <v>844316000</v>
      </c>
    </row>
    <row r="43" spans="1:12" s="28" customFormat="1" ht="24.9" customHeight="1">
      <c r="A43" s="51" t="s">
        <v>235</v>
      </c>
      <c r="B43" s="52" t="s">
        <v>236</v>
      </c>
      <c r="C43" s="519"/>
      <c r="D43" s="520"/>
      <c r="E43" s="521"/>
      <c r="F43" s="75">
        <v>10</v>
      </c>
      <c r="G43" s="53">
        <v>10</v>
      </c>
      <c r="H43" s="66"/>
      <c r="J43" s="50">
        <v>11</v>
      </c>
      <c r="K43" s="50">
        <v>8</v>
      </c>
      <c r="L43" s="50">
        <v>11</v>
      </c>
    </row>
    <row r="44" spans="1:12" s="28" customFormat="1" ht="24.9" customHeight="1" thickBot="1">
      <c r="A44" s="76" t="s">
        <v>237</v>
      </c>
      <c r="B44" s="516" t="s">
        <v>238</v>
      </c>
      <c r="C44" s="517"/>
      <c r="D44" s="517"/>
      <c r="E44" s="518"/>
      <c r="F44" s="77">
        <f>F42/F43</f>
        <v>22507900</v>
      </c>
      <c r="G44" s="78">
        <f>G42/G43</f>
        <v>291380800</v>
      </c>
      <c r="H44" s="79"/>
      <c r="J44" s="43">
        <f>J42/J43</f>
        <v>57089727.272727273</v>
      </c>
      <c r="K44" s="43">
        <f>K42/K43</f>
        <v>54906250</v>
      </c>
      <c r="L44" s="43">
        <f>L42/L43</f>
        <v>76756000</v>
      </c>
    </row>
    <row r="45" spans="1:12">
      <c r="F45" s="80"/>
      <c r="L45" s="32"/>
    </row>
    <row r="46" spans="1:12">
      <c r="J46" s="50">
        <f>J42/6</f>
        <v>104664500</v>
      </c>
      <c r="K46" s="50">
        <f>K42/6</f>
        <v>73208333.333333328</v>
      </c>
      <c r="L46" s="50">
        <f>L42/6</f>
        <v>140719333.33333334</v>
      </c>
    </row>
    <row r="47" spans="1:12">
      <c r="L47" s="32"/>
    </row>
  </sheetData>
  <mergeCells count="7">
    <mergeCell ref="H17:H19"/>
    <mergeCell ref="H6:H8"/>
    <mergeCell ref="H28:H32"/>
    <mergeCell ref="B44:E44"/>
    <mergeCell ref="C43:E43"/>
    <mergeCell ref="B42:E42"/>
    <mergeCell ref="C25:E25"/>
  </mergeCells>
  <pageMargins left="0.7" right="0.7" top="0.75" bottom="0.75" header="0.3" footer="0.3"/>
  <pageSetup orientation="portrait" r:id="rId1"/>
  <ignoredErrors>
    <ignoredError sqref="G25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6"/>
  <sheetViews>
    <sheetView view="pageBreakPreview" zoomScale="70" zoomScaleNormal="80" zoomScaleSheetLayoutView="70" workbookViewId="0">
      <selection activeCell="S32" sqref="S32"/>
    </sheetView>
  </sheetViews>
  <sheetFormatPr defaultColWidth="9.109375" defaultRowHeight="19.2" outlineLevelCol="1"/>
  <cols>
    <col min="1" max="1" width="10.6640625" style="81" customWidth="1"/>
    <col min="2" max="2" width="15.6640625" style="81" customWidth="1"/>
    <col min="3" max="3" width="35.6640625" style="81" customWidth="1"/>
    <col min="4" max="4" width="25.6640625" style="81" hidden="1" customWidth="1" outlineLevel="1"/>
    <col min="5" max="5" width="20.6640625" style="81" hidden="1" customWidth="1" outlineLevel="1"/>
    <col min="6" max="7" width="15.6640625" style="81" hidden="1" customWidth="1" outlineLevel="1"/>
    <col min="8" max="9" width="20.77734375" style="81" hidden="1" customWidth="1" outlineLevel="1"/>
    <col min="10" max="10" width="20.77734375" style="81" customWidth="1" collapsed="1"/>
    <col min="11" max="18" width="20.77734375" style="81" customWidth="1"/>
    <col min="19" max="19" width="60.77734375" style="83" customWidth="1"/>
    <col min="20" max="20" width="9.109375" style="81" customWidth="1"/>
    <col min="21" max="16384" width="9.109375" style="81"/>
  </cols>
  <sheetData>
    <row r="1" spans="1:19" ht="40.049999999999997" customHeight="1">
      <c r="C1" s="82" t="s">
        <v>239</v>
      </c>
    </row>
    <row r="2" spans="1:19" ht="40.049999999999997" customHeight="1">
      <c r="C2" s="84" t="s">
        <v>240</v>
      </c>
    </row>
    <row r="3" spans="1:19" ht="15" customHeight="1" thickBot="1"/>
    <row r="4" spans="1:19" s="87" customFormat="1" ht="49.95" customHeight="1">
      <c r="A4" s="85" t="s">
        <v>159</v>
      </c>
      <c r="B4" s="86" t="s">
        <v>241</v>
      </c>
      <c r="C4" s="528" t="s">
        <v>242</v>
      </c>
      <c r="D4" s="528" t="s">
        <v>243</v>
      </c>
      <c r="E4" s="528" t="s">
        <v>244</v>
      </c>
      <c r="F4" s="528" t="s">
        <v>245</v>
      </c>
      <c r="G4" s="528" t="s">
        <v>246</v>
      </c>
      <c r="H4" s="528" t="s">
        <v>247</v>
      </c>
      <c r="I4" s="528" t="s">
        <v>248</v>
      </c>
      <c r="J4" s="528" t="s">
        <v>249</v>
      </c>
      <c r="K4" s="540"/>
      <c r="L4" s="535" t="s">
        <v>250</v>
      </c>
      <c r="M4" s="536"/>
      <c r="N4" s="537"/>
      <c r="O4" s="528" t="s">
        <v>251</v>
      </c>
      <c r="P4" s="540"/>
      <c r="Q4" s="528" t="s">
        <v>252</v>
      </c>
      <c r="R4" s="540"/>
      <c r="S4" s="541" t="s">
        <v>166</v>
      </c>
    </row>
    <row r="5" spans="1:19" s="87" customFormat="1" ht="40.049999999999997" customHeight="1">
      <c r="A5" s="88"/>
      <c r="B5" s="89"/>
      <c r="C5" s="529"/>
      <c r="D5" s="529"/>
      <c r="E5" s="529"/>
      <c r="F5" s="529"/>
      <c r="G5" s="529"/>
      <c r="H5" s="529"/>
      <c r="I5" s="529"/>
      <c r="J5" s="90" t="s">
        <v>124</v>
      </c>
      <c r="K5" s="91" t="s">
        <v>253</v>
      </c>
      <c r="L5" s="90" t="s">
        <v>124</v>
      </c>
      <c r="M5" s="91" t="s">
        <v>253</v>
      </c>
      <c r="N5" s="91" t="s">
        <v>254</v>
      </c>
      <c r="O5" s="90" t="s">
        <v>124</v>
      </c>
      <c r="P5" s="91" t="s">
        <v>253</v>
      </c>
      <c r="Q5" s="90" t="s">
        <v>124</v>
      </c>
      <c r="R5" s="91" t="s">
        <v>253</v>
      </c>
      <c r="S5" s="542"/>
    </row>
    <row r="6" spans="1:19" s="87" customFormat="1" ht="30" customHeight="1">
      <c r="A6" s="525" t="s">
        <v>255</v>
      </c>
      <c r="B6" s="526"/>
      <c r="C6" s="526"/>
      <c r="D6" s="526"/>
      <c r="E6" s="526"/>
      <c r="F6" s="526"/>
      <c r="G6" s="526"/>
      <c r="H6" s="526"/>
      <c r="I6" s="526"/>
      <c r="J6" s="526"/>
      <c r="K6" s="526"/>
      <c r="L6" s="526"/>
      <c r="M6" s="526"/>
      <c r="N6" s="526"/>
      <c r="O6" s="526"/>
      <c r="P6" s="526"/>
      <c r="Q6" s="526"/>
      <c r="R6" s="526"/>
      <c r="S6" s="527"/>
    </row>
    <row r="7" spans="1:19" ht="30" customHeight="1">
      <c r="A7" s="92">
        <v>1</v>
      </c>
      <c r="B7" s="93" t="s">
        <v>256</v>
      </c>
      <c r="C7" s="94" t="s">
        <v>257</v>
      </c>
      <c r="D7" s="95" t="s">
        <v>258</v>
      </c>
      <c r="E7" s="95" t="s">
        <v>259</v>
      </c>
      <c r="F7" s="96" t="s">
        <v>132</v>
      </c>
      <c r="G7" s="96">
        <v>45943</v>
      </c>
      <c r="H7" s="97">
        <v>40000000</v>
      </c>
      <c r="I7" s="97">
        <v>24000000</v>
      </c>
      <c r="J7" s="98">
        <f>H7*12</f>
        <v>480000000</v>
      </c>
      <c r="K7" s="124">
        <f>TongHopLuongThuong_NhanSu!M6</f>
        <v>184235000</v>
      </c>
      <c r="L7" s="99">
        <f>H7*5</f>
        <v>200000000</v>
      </c>
      <c r="M7" s="124">
        <f>SUM(TongHopLuongThuong_NhanSu!N6:Q6)</f>
        <v>33000000</v>
      </c>
      <c r="N7" s="125">
        <f>IFERROR(M7/K7,"-")</f>
        <v>0.17911905989632806</v>
      </c>
      <c r="O7" s="99">
        <f>I7*12*21.5%</f>
        <v>61920000</v>
      </c>
      <c r="P7" s="124">
        <f>TongHopLuongThuong_NhanSu!T6</f>
        <v>23040000</v>
      </c>
      <c r="Q7" s="99">
        <f>2%*I7*12</f>
        <v>5760000</v>
      </c>
      <c r="R7" s="124">
        <f>TongHopLuongThuong_NhanSu!U6</f>
        <v>1440000</v>
      </c>
      <c r="S7" s="152" t="s">
        <v>394</v>
      </c>
    </row>
    <row r="8" spans="1:19" ht="30" customHeight="1">
      <c r="A8" s="100">
        <v>2</v>
      </c>
      <c r="B8" s="101" t="s">
        <v>260</v>
      </c>
      <c r="C8" s="102" t="s">
        <v>261</v>
      </c>
      <c r="D8" s="103" t="s">
        <v>262</v>
      </c>
      <c r="E8" s="103" t="s">
        <v>259</v>
      </c>
      <c r="F8" s="104" t="s">
        <v>132</v>
      </c>
      <c r="G8" s="104">
        <v>45962</v>
      </c>
      <c r="H8" s="105">
        <v>36800000</v>
      </c>
      <c r="I8" s="105">
        <v>19000000</v>
      </c>
      <c r="J8" s="106">
        <f>H8*12</f>
        <v>441600000</v>
      </c>
      <c r="K8" s="124">
        <f>TongHopLuongThuong_NhanSu!M7</f>
        <v>224515000</v>
      </c>
      <c r="L8" s="99">
        <f>H8*5</f>
        <v>184000000</v>
      </c>
      <c r="M8" s="124">
        <f>SUM(TongHopLuongThuong_NhanSu!N7:Q7)</f>
        <v>109560000</v>
      </c>
      <c r="N8" s="125">
        <f>IFERROR(M8/K8,"-")</f>
        <v>0.4879852125693161</v>
      </c>
      <c r="O8" s="99">
        <f>I8*12*21.5%</f>
        <v>49020000</v>
      </c>
      <c r="P8" s="124">
        <f>TongHopLuongThuong_NhanSu!T7</f>
        <v>42560000</v>
      </c>
      <c r="Q8" s="99">
        <f>2%*I8*12</f>
        <v>4560000</v>
      </c>
      <c r="R8" s="124">
        <f>TongHopLuongThuong_NhanSu!U7</f>
        <v>1140000</v>
      </c>
      <c r="S8" s="107" t="s">
        <v>263</v>
      </c>
    </row>
    <row r="9" spans="1:19" ht="30" customHeight="1">
      <c r="A9" s="525" t="s">
        <v>264</v>
      </c>
      <c r="B9" s="526"/>
      <c r="C9" s="526"/>
      <c r="D9" s="526"/>
      <c r="E9" s="526"/>
      <c r="F9" s="526"/>
      <c r="G9" s="526"/>
      <c r="H9" s="526"/>
      <c r="I9" s="526"/>
      <c r="J9" s="526"/>
      <c r="K9" s="526"/>
      <c r="L9" s="526"/>
      <c r="M9" s="526"/>
      <c r="N9" s="526"/>
      <c r="O9" s="526"/>
      <c r="P9" s="526"/>
      <c r="Q9" s="526"/>
      <c r="R9" s="526"/>
      <c r="S9" s="527"/>
    </row>
    <row r="10" spans="1:19" ht="30" customHeight="1">
      <c r="A10" s="543"/>
      <c r="B10" s="108" t="s">
        <v>256</v>
      </c>
      <c r="C10" s="94" t="s">
        <v>257</v>
      </c>
      <c r="D10" s="109" t="s">
        <v>265</v>
      </c>
      <c r="E10" s="103" t="s">
        <v>266</v>
      </c>
      <c r="F10" s="96" t="s">
        <v>132</v>
      </c>
      <c r="G10" s="96">
        <v>45943</v>
      </c>
      <c r="H10" s="109"/>
      <c r="I10" s="109"/>
      <c r="J10" s="109"/>
      <c r="K10" s="110"/>
      <c r="L10" s="110"/>
      <c r="M10" s="110"/>
      <c r="N10" s="110"/>
      <c r="O10" s="110"/>
      <c r="P10" s="110"/>
      <c r="Q10" s="110"/>
      <c r="R10" s="110"/>
      <c r="S10" s="111"/>
    </row>
    <row r="11" spans="1:19" ht="30" customHeight="1">
      <c r="A11" s="544"/>
      <c r="B11" s="101" t="s">
        <v>260</v>
      </c>
      <c r="C11" s="102" t="s">
        <v>261</v>
      </c>
      <c r="D11" s="103" t="s">
        <v>267</v>
      </c>
      <c r="E11" s="103" t="s">
        <v>266</v>
      </c>
      <c r="F11" s="104" t="s">
        <v>132</v>
      </c>
      <c r="G11" s="104">
        <v>45962</v>
      </c>
      <c r="H11" s="105"/>
      <c r="I11" s="105"/>
      <c r="J11" s="106"/>
      <c r="K11" s="99"/>
      <c r="L11" s="99"/>
      <c r="M11" s="99"/>
      <c r="N11" s="99"/>
      <c r="O11" s="99"/>
      <c r="P11" s="99"/>
      <c r="Q11" s="99"/>
      <c r="R11" s="99"/>
      <c r="S11" s="107"/>
    </row>
    <row r="12" spans="1:19" ht="30" customHeight="1">
      <c r="A12" s="525" t="s">
        <v>268</v>
      </c>
      <c r="B12" s="526"/>
      <c r="C12" s="526"/>
      <c r="D12" s="526"/>
      <c r="E12" s="526"/>
      <c r="F12" s="526"/>
      <c r="G12" s="526"/>
      <c r="H12" s="526"/>
      <c r="I12" s="526"/>
      <c r="J12" s="526"/>
      <c r="K12" s="526"/>
      <c r="L12" s="526"/>
      <c r="M12" s="526"/>
      <c r="N12" s="526"/>
      <c r="O12" s="526"/>
      <c r="P12" s="526"/>
      <c r="Q12" s="526"/>
      <c r="R12" s="526"/>
      <c r="S12" s="527"/>
    </row>
    <row r="13" spans="1:19" ht="70.05" customHeight="1">
      <c r="A13" s="100">
        <v>3</v>
      </c>
      <c r="B13" s="101" t="s">
        <v>269</v>
      </c>
      <c r="C13" s="102" t="s">
        <v>270</v>
      </c>
      <c r="D13" s="103" t="s">
        <v>271</v>
      </c>
      <c r="E13" s="103" t="s">
        <v>272</v>
      </c>
      <c r="F13" s="104">
        <v>46006</v>
      </c>
      <c r="G13" s="104">
        <v>45695</v>
      </c>
      <c r="H13" s="105">
        <v>20350000</v>
      </c>
      <c r="I13" s="105">
        <v>11000000</v>
      </c>
      <c r="J13" s="106">
        <f>H13*12</f>
        <v>244200000</v>
      </c>
      <c r="K13" s="124">
        <f>TongHopLuongThuong_NhanSu!M12</f>
        <v>135696900</v>
      </c>
      <c r="L13" s="99">
        <f>H13*3</f>
        <v>61050000</v>
      </c>
      <c r="M13" s="124">
        <f>SUM(TongHopLuongThuong_NhanSu!N12:Q12)</f>
        <v>21125000</v>
      </c>
      <c r="N13" s="125">
        <f>IFERROR(M13/K13,"-")</f>
        <v>0.1556778378872325</v>
      </c>
      <c r="O13" s="99">
        <f>I13*12*21.5%</f>
        <v>28380000</v>
      </c>
      <c r="P13" s="124">
        <f>TongHopLuongThuong_NhanSu!T12</f>
        <v>19200000</v>
      </c>
      <c r="Q13" s="99">
        <f>2%*I13*12</f>
        <v>2640000</v>
      </c>
      <c r="R13" s="124">
        <f>TongHopLuongThuong_NhanSu!U12</f>
        <v>600000</v>
      </c>
      <c r="S13" s="107" t="s">
        <v>273</v>
      </c>
    </row>
    <row r="14" spans="1:19" ht="40.049999999999997" customHeight="1">
      <c r="A14" s="100">
        <v>4</v>
      </c>
      <c r="B14" s="101" t="s">
        <v>274</v>
      </c>
      <c r="C14" s="102" t="s">
        <v>275</v>
      </c>
      <c r="D14" s="103" t="s">
        <v>271</v>
      </c>
      <c r="E14" s="103" t="s">
        <v>272</v>
      </c>
      <c r="F14" s="104">
        <v>46106</v>
      </c>
      <c r="G14" s="104">
        <v>46167</v>
      </c>
      <c r="H14" s="105">
        <v>18500000</v>
      </c>
      <c r="I14" s="105">
        <v>11000000</v>
      </c>
      <c r="J14" s="106">
        <f>H14*12</f>
        <v>222000000</v>
      </c>
      <c r="K14" s="124">
        <f>TongHopLuongThuong_NhanSu!M16</f>
        <v>74492380.319148898</v>
      </c>
      <c r="L14" s="99">
        <f>H14*3</f>
        <v>55500000</v>
      </c>
      <c r="M14" s="124">
        <f>SUM(TongHopLuongThuong_NhanSu!N16:Q16)</f>
        <v>1700000</v>
      </c>
      <c r="N14" s="125">
        <f>IFERROR(M14/K14,"-")</f>
        <v>2.2821126036202129E-2</v>
      </c>
      <c r="O14" s="99">
        <f>I14*12*21.5%</f>
        <v>28380000</v>
      </c>
      <c r="P14" s="124">
        <f>TongHopLuongThuong_NhanSu!T16</f>
        <v>6400000</v>
      </c>
      <c r="Q14" s="99">
        <f>2%*I14*12</f>
        <v>2640000</v>
      </c>
      <c r="R14" s="124">
        <f>TongHopLuongThuong_NhanSu!U16</f>
        <v>400000</v>
      </c>
      <c r="S14" s="107" t="s">
        <v>276</v>
      </c>
    </row>
    <row r="15" spans="1:19" ht="40.049999999999997" customHeight="1">
      <c r="A15" s="100">
        <v>5</v>
      </c>
      <c r="B15" s="101" t="s">
        <v>277</v>
      </c>
      <c r="C15" s="102" t="s">
        <v>278</v>
      </c>
      <c r="D15" s="103" t="s">
        <v>271</v>
      </c>
      <c r="E15" s="103" t="s">
        <v>272</v>
      </c>
      <c r="F15" s="104">
        <v>46174</v>
      </c>
      <c r="G15" s="104">
        <f>F15+60</f>
        <v>46234</v>
      </c>
      <c r="H15" s="105">
        <v>20000000</v>
      </c>
      <c r="I15" s="105">
        <v>12000000</v>
      </c>
      <c r="J15" s="106">
        <f>H15*12</f>
        <v>240000000</v>
      </c>
      <c r="K15" s="124">
        <f>TongHopLuongThuong_NhanSu!M17</f>
        <v>34601400</v>
      </c>
      <c r="L15" s="99">
        <f>H15*3</f>
        <v>60000000</v>
      </c>
      <c r="M15" s="124">
        <f>SUM(TongHopLuongThuong_NhanSu!N17:Q17)</f>
        <v>700000</v>
      </c>
      <c r="N15" s="125">
        <f>IFERROR(M15/K15,"-")</f>
        <v>2.0230395301924199E-2</v>
      </c>
      <c r="O15" s="99">
        <f>I15*12*21.5%</f>
        <v>30960000</v>
      </c>
      <c r="P15" s="124">
        <f>TongHopLuongThuong_NhanSu!T17</f>
        <v>0</v>
      </c>
      <c r="Q15" s="99">
        <f>2%*I15*12</f>
        <v>2880000</v>
      </c>
      <c r="R15" s="124">
        <f>TongHopLuongThuong_NhanSu!U17</f>
        <v>0</v>
      </c>
      <c r="S15" s="107" t="s">
        <v>276</v>
      </c>
    </row>
    <row r="16" spans="1:19" ht="30" customHeight="1">
      <c r="A16" s="525" t="s">
        <v>279</v>
      </c>
      <c r="B16" s="526"/>
      <c r="C16" s="526"/>
      <c r="D16" s="526"/>
      <c r="E16" s="526"/>
      <c r="F16" s="526"/>
      <c r="G16" s="526"/>
      <c r="H16" s="526"/>
      <c r="I16" s="526"/>
      <c r="J16" s="526"/>
      <c r="K16" s="526"/>
      <c r="L16" s="526"/>
      <c r="M16" s="526"/>
      <c r="N16" s="526"/>
      <c r="O16" s="526"/>
      <c r="P16" s="526"/>
      <c r="Q16" s="526"/>
      <c r="R16" s="526"/>
      <c r="S16" s="527"/>
    </row>
    <row r="17" spans="1:19" ht="40.049999999999997" customHeight="1">
      <c r="A17" s="100">
        <v>6</v>
      </c>
      <c r="B17" s="101" t="s">
        <v>277</v>
      </c>
      <c r="C17" s="102" t="s">
        <v>280</v>
      </c>
      <c r="D17" s="103" t="s">
        <v>281</v>
      </c>
      <c r="E17" s="103" t="s">
        <v>272</v>
      </c>
      <c r="F17" s="104">
        <v>45964</v>
      </c>
      <c r="G17" s="104">
        <f>F17+60</f>
        <v>46024</v>
      </c>
      <c r="H17" s="105">
        <v>14000000</v>
      </c>
      <c r="I17" s="105">
        <v>8000000</v>
      </c>
      <c r="J17" s="106">
        <f>H17*12</f>
        <v>168000000</v>
      </c>
      <c r="K17" s="124">
        <f>TongHopLuongThuong_NhanSu!M9</f>
        <v>116930600</v>
      </c>
      <c r="L17" s="99">
        <f>H17*3</f>
        <v>42000000</v>
      </c>
      <c r="M17" s="124">
        <f>SUM(TongHopLuongThuong_NhanSu!N9:Q9)</f>
        <v>17200000</v>
      </c>
      <c r="N17" s="125">
        <f>IFERROR(M17/K17,"-")</f>
        <v>0.14709579870453071</v>
      </c>
      <c r="O17" s="99">
        <f>I17*12*21.5%</f>
        <v>20640000</v>
      </c>
      <c r="P17" s="124">
        <f>TongHopLuongThuong_NhanSu!T9</f>
        <v>17920000</v>
      </c>
      <c r="Q17" s="99">
        <f>2%*I17*12</f>
        <v>1920000</v>
      </c>
      <c r="R17" s="124">
        <f>TongHopLuongThuong_NhanSu!U9</f>
        <v>480000</v>
      </c>
      <c r="S17" s="107" t="s">
        <v>282</v>
      </c>
    </row>
    <row r="18" spans="1:19" ht="40.049999999999997" customHeight="1">
      <c r="A18" s="112">
        <v>7</v>
      </c>
      <c r="B18" s="101" t="s">
        <v>283</v>
      </c>
      <c r="C18" s="102" t="s">
        <v>284</v>
      </c>
      <c r="D18" s="103" t="s">
        <v>281</v>
      </c>
      <c r="E18" s="103" t="s">
        <v>272</v>
      </c>
      <c r="F18" s="104">
        <v>45971</v>
      </c>
      <c r="G18" s="104">
        <v>46031</v>
      </c>
      <c r="H18" s="105">
        <v>13300000</v>
      </c>
      <c r="I18" s="105">
        <v>8000000</v>
      </c>
      <c r="J18" s="106">
        <f>H18*12</f>
        <v>159600000</v>
      </c>
      <c r="K18" s="124">
        <f>TongHopLuongThuong_NhanSu!M10</f>
        <v>106143868.9795918</v>
      </c>
      <c r="L18" s="99">
        <f>H18*3</f>
        <v>39900000</v>
      </c>
      <c r="M18" s="124">
        <f>SUM(TongHopLuongThuong_NhanSu!N10:Q10)</f>
        <v>16465000</v>
      </c>
      <c r="N18" s="125">
        <f>IFERROR(M18/K18,"-")</f>
        <v>0.15511965182996781</v>
      </c>
      <c r="O18" s="99">
        <f>I18*12*21.5%</f>
        <v>20640000</v>
      </c>
      <c r="P18" s="124">
        <f>TongHopLuongThuong_NhanSu!T10</f>
        <v>17920000</v>
      </c>
      <c r="Q18" s="99">
        <f>2%*I18*12</f>
        <v>1920000</v>
      </c>
      <c r="R18" s="124">
        <f>TongHopLuongThuong_NhanSu!U10</f>
        <v>480000</v>
      </c>
      <c r="S18" s="107" t="s">
        <v>285</v>
      </c>
    </row>
    <row r="19" spans="1:19" ht="30" customHeight="1">
      <c r="A19" s="112">
        <v>8</v>
      </c>
      <c r="B19" s="101" t="s">
        <v>286</v>
      </c>
      <c r="C19" s="102" t="s">
        <v>287</v>
      </c>
      <c r="D19" s="103" t="s">
        <v>281</v>
      </c>
      <c r="E19" s="103" t="s">
        <v>272</v>
      </c>
      <c r="F19" s="104">
        <v>45992</v>
      </c>
      <c r="G19" s="104">
        <v>46055</v>
      </c>
      <c r="H19" s="105">
        <v>14600000</v>
      </c>
      <c r="I19" s="105">
        <v>8000000</v>
      </c>
      <c r="J19" s="106">
        <f>H19*12</f>
        <v>175200000</v>
      </c>
      <c r="K19" s="124">
        <f>TongHopLuongThuong_NhanSu!M11</f>
        <v>110053255.1020408</v>
      </c>
      <c r="L19" s="99">
        <f>H19*3</f>
        <v>43800000</v>
      </c>
      <c r="M19" s="124">
        <f>SUM(TongHopLuongThuong_NhanSu!N11:Q11)</f>
        <v>16180000</v>
      </c>
      <c r="N19" s="125">
        <f>IFERROR(M19/K19,"-")</f>
        <v>0.1470197313564055</v>
      </c>
      <c r="O19" s="99">
        <f>I19*12*21.5%</f>
        <v>20640000</v>
      </c>
      <c r="P19" s="124">
        <f>TongHopLuongThuong_NhanSu!T11</f>
        <v>15360000</v>
      </c>
      <c r="Q19" s="99">
        <f>2%*I19*12</f>
        <v>1920000</v>
      </c>
      <c r="R19" s="124">
        <f>TongHopLuongThuong_NhanSu!U11</f>
        <v>480000</v>
      </c>
      <c r="S19" s="107" t="s">
        <v>285</v>
      </c>
    </row>
    <row r="20" spans="1:19" ht="30" customHeight="1">
      <c r="A20" s="525" t="s">
        <v>288</v>
      </c>
      <c r="B20" s="526"/>
      <c r="C20" s="526"/>
      <c r="D20" s="526"/>
      <c r="E20" s="526"/>
      <c r="F20" s="526"/>
      <c r="G20" s="526"/>
      <c r="H20" s="526"/>
      <c r="I20" s="526"/>
      <c r="J20" s="526"/>
      <c r="K20" s="526"/>
      <c r="L20" s="526"/>
      <c r="M20" s="526"/>
      <c r="N20" s="526"/>
      <c r="O20" s="526"/>
      <c r="P20" s="526"/>
      <c r="Q20" s="526"/>
      <c r="R20" s="526"/>
      <c r="S20" s="527"/>
    </row>
    <row r="21" spans="1:19" ht="30" customHeight="1">
      <c r="A21" s="112">
        <v>9</v>
      </c>
      <c r="B21" s="101" t="s">
        <v>289</v>
      </c>
      <c r="C21" s="102" t="s">
        <v>290</v>
      </c>
      <c r="D21" s="103" t="s">
        <v>281</v>
      </c>
      <c r="E21" s="103" t="s">
        <v>272</v>
      </c>
      <c r="F21" s="104">
        <v>46099</v>
      </c>
      <c r="G21" s="104">
        <v>46161</v>
      </c>
      <c r="H21" s="105">
        <v>11000000</v>
      </c>
      <c r="I21" s="105">
        <v>6000000</v>
      </c>
      <c r="J21" s="106">
        <f>H21*12</f>
        <v>132000000</v>
      </c>
      <c r="K21" s="124">
        <f>TongHopLuongThuong_NhanSu!M13</f>
        <v>46415585.106383003</v>
      </c>
      <c r="L21" s="99">
        <f>H21*3</f>
        <v>33000000</v>
      </c>
      <c r="M21" s="124">
        <f>SUM(TongHopLuongThuong_NhanSu!N13:Q13)</f>
        <v>1500000</v>
      </c>
      <c r="N21" s="125">
        <f>IFERROR(M21/K21,"-")</f>
        <v>3.2316731472027099E-2</v>
      </c>
      <c r="O21" s="99">
        <f>I21*12*21.5%</f>
        <v>15480000</v>
      </c>
      <c r="P21" s="124">
        <f>TongHopLuongThuong_NhanSu!T13</f>
        <v>4480000</v>
      </c>
      <c r="Q21" s="99">
        <f>2%*I21*12</f>
        <v>1440000</v>
      </c>
      <c r="R21" s="124">
        <f>TongHopLuongThuong_NhanSu!U13</f>
        <v>280000</v>
      </c>
      <c r="S21" s="107" t="s">
        <v>291</v>
      </c>
    </row>
    <row r="22" spans="1:19" ht="30" customHeight="1">
      <c r="A22" s="112">
        <v>10</v>
      </c>
      <c r="B22" s="101" t="s">
        <v>292</v>
      </c>
      <c r="C22" s="102" t="s">
        <v>293</v>
      </c>
      <c r="D22" s="103" t="s">
        <v>281</v>
      </c>
      <c r="E22" s="103" t="s">
        <v>272</v>
      </c>
      <c r="F22" s="104">
        <v>46162</v>
      </c>
      <c r="G22" s="104">
        <f>F22+60</f>
        <v>46222</v>
      </c>
      <c r="H22" s="106">
        <v>17000000</v>
      </c>
      <c r="I22" s="106">
        <v>10000000</v>
      </c>
      <c r="J22" s="106">
        <f>H22*12</f>
        <v>204000000</v>
      </c>
      <c r="K22" s="124">
        <f>TongHopLuongThuong_NhanSu!M15</f>
        <v>38482313.829787202</v>
      </c>
      <c r="L22" s="99">
        <f>H22*3</f>
        <v>51000000</v>
      </c>
      <c r="M22" s="124">
        <f>SUM(TongHopLuongThuong_NhanSu!N15:Q15)</f>
        <v>0</v>
      </c>
      <c r="N22" s="125">
        <f>IFERROR(M22/K22,"-")</f>
        <v>0</v>
      </c>
      <c r="O22" s="99">
        <f>I22*12*21.5%</f>
        <v>25800000</v>
      </c>
      <c r="P22" s="124">
        <f>TongHopLuongThuong_NhanSu!T15</f>
        <v>0</v>
      </c>
      <c r="Q22" s="99">
        <f>2%*I22*12</f>
        <v>2400000</v>
      </c>
      <c r="R22" s="124">
        <f>TongHopLuongThuong_NhanSu!U15</f>
        <v>0</v>
      </c>
      <c r="S22" s="107" t="s">
        <v>291</v>
      </c>
    </row>
    <row r="23" spans="1:19" ht="30" customHeight="1">
      <c r="A23" s="112">
        <v>11</v>
      </c>
      <c r="B23" s="101" t="s">
        <v>294</v>
      </c>
      <c r="C23" s="102" t="s">
        <v>295</v>
      </c>
      <c r="D23" s="103" t="s">
        <v>281</v>
      </c>
      <c r="E23" s="103" t="s">
        <v>272</v>
      </c>
      <c r="F23" s="104">
        <v>46161</v>
      </c>
      <c r="G23" s="104" t="s">
        <v>296</v>
      </c>
      <c r="H23" s="105">
        <v>14000000</v>
      </c>
      <c r="I23" s="105">
        <v>8000000</v>
      </c>
      <c r="J23" s="106">
        <f>H23*12</f>
        <v>168000000</v>
      </c>
      <c r="K23" s="124">
        <f>TongHopLuongThuong_NhanSu!M14</f>
        <v>30366914.893617</v>
      </c>
      <c r="L23" s="99">
        <f>H23*3</f>
        <v>42000000</v>
      </c>
      <c r="M23" s="124">
        <f>SUM(TongHopLuongThuong_NhanSu!N14:Q14)</f>
        <v>500000</v>
      </c>
      <c r="N23" s="125">
        <f>IFERROR(M23/K23,"-")</f>
        <v>1.6465288019926513E-2</v>
      </c>
      <c r="O23" s="99">
        <f>I23*12*21.5%</f>
        <v>20640000</v>
      </c>
      <c r="P23" s="124">
        <f>TongHopLuongThuong_NhanSu!T14</f>
        <v>0</v>
      </c>
      <c r="Q23" s="99">
        <f>2%*I23*12</f>
        <v>1920000</v>
      </c>
      <c r="R23" s="124">
        <f>TongHopLuongThuong_NhanSu!U14</f>
        <v>0</v>
      </c>
      <c r="S23" s="107" t="s">
        <v>297</v>
      </c>
    </row>
    <row r="24" spans="1:19" ht="30" customHeight="1">
      <c r="A24" s="112">
        <v>12</v>
      </c>
      <c r="B24" s="108" t="s">
        <v>298</v>
      </c>
      <c r="C24" s="102" t="s">
        <v>299</v>
      </c>
      <c r="D24" s="103" t="s">
        <v>281</v>
      </c>
      <c r="E24" s="103" t="s">
        <v>272</v>
      </c>
      <c r="F24" s="113">
        <f>F26</f>
        <v>46162</v>
      </c>
      <c r="G24" s="113">
        <f>F24+60</f>
        <v>46222</v>
      </c>
      <c r="H24" s="106">
        <v>19200000</v>
      </c>
      <c r="I24" s="106">
        <v>10000000</v>
      </c>
      <c r="J24" s="114">
        <f>H24*12</f>
        <v>230400000</v>
      </c>
      <c r="K24" s="126">
        <f>TongHopLuongThuong_NhanSu!M18</f>
        <v>17325000</v>
      </c>
      <c r="L24" s="115">
        <f>H24*3</f>
        <v>57600000</v>
      </c>
      <c r="M24" s="124">
        <f>SUM(TongHopLuongThuong_NhanSu!N18:Q18)</f>
        <v>0</v>
      </c>
      <c r="N24" s="130">
        <f>IFERROR(M24/K24,"-")</f>
        <v>0</v>
      </c>
      <c r="O24" s="115">
        <f>I24*12*21.5%</f>
        <v>25800000</v>
      </c>
      <c r="P24" s="126">
        <f>TongHopLuongThuong_NhanSu!T18</f>
        <v>0</v>
      </c>
      <c r="Q24" s="115">
        <f>2%*I24*12</f>
        <v>2400000</v>
      </c>
      <c r="R24" s="124">
        <f>TongHopLuongThuong_NhanSu!U18</f>
        <v>0</v>
      </c>
      <c r="S24" s="107" t="s">
        <v>300</v>
      </c>
    </row>
    <row r="25" spans="1:19" ht="30" customHeight="1">
      <c r="A25" s="525" t="s">
        <v>301</v>
      </c>
      <c r="B25" s="526"/>
      <c r="C25" s="526"/>
      <c r="D25" s="526"/>
      <c r="E25" s="526"/>
      <c r="F25" s="526"/>
      <c r="G25" s="526"/>
      <c r="H25" s="526"/>
      <c r="I25" s="526"/>
      <c r="J25" s="526"/>
      <c r="K25" s="526"/>
      <c r="L25" s="526"/>
      <c r="M25" s="526"/>
      <c r="N25" s="526"/>
      <c r="O25" s="526"/>
      <c r="P25" s="526"/>
      <c r="Q25" s="526"/>
      <c r="R25" s="526"/>
      <c r="S25" s="527"/>
    </row>
    <row r="26" spans="1:19" ht="30" customHeight="1">
      <c r="A26" s="112">
        <v>13</v>
      </c>
      <c r="B26" s="101" t="s">
        <v>302</v>
      </c>
      <c r="C26" s="102" t="s">
        <v>303</v>
      </c>
      <c r="D26" s="103" t="s">
        <v>281</v>
      </c>
      <c r="E26" s="103" t="s">
        <v>272</v>
      </c>
      <c r="F26" s="104">
        <v>46162</v>
      </c>
      <c r="G26" s="104">
        <f>F26+90</f>
        <v>46252</v>
      </c>
      <c r="H26" s="106">
        <v>2750000</v>
      </c>
      <c r="I26" s="106" t="s">
        <v>132</v>
      </c>
      <c r="J26" s="106" t="s">
        <v>132</v>
      </c>
      <c r="K26" s="124" t="s">
        <v>132</v>
      </c>
      <c r="L26" s="99" t="s">
        <v>132</v>
      </c>
      <c r="M26" s="124" t="s">
        <v>132</v>
      </c>
      <c r="N26" s="124" t="s">
        <v>132</v>
      </c>
      <c r="O26" s="99" t="s">
        <v>132</v>
      </c>
      <c r="P26" s="124" t="s">
        <v>132</v>
      </c>
      <c r="Q26" s="99" t="s">
        <v>132</v>
      </c>
      <c r="R26" s="124" t="s">
        <v>132</v>
      </c>
      <c r="S26" s="107" t="s">
        <v>304</v>
      </c>
    </row>
    <row r="27" spans="1:19" ht="30" customHeight="1">
      <c r="A27" s="112">
        <v>14</v>
      </c>
      <c r="B27" s="101" t="s">
        <v>305</v>
      </c>
      <c r="C27" s="102" t="s">
        <v>306</v>
      </c>
      <c r="D27" s="103" t="s">
        <v>281</v>
      </c>
      <c r="E27" s="103" t="s">
        <v>272</v>
      </c>
      <c r="F27" s="104">
        <v>46162</v>
      </c>
      <c r="G27" s="104">
        <f>F27+90</f>
        <v>46252</v>
      </c>
      <c r="H27" s="106">
        <v>2750000</v>
      </c>
      <c r="I27" s="106" t="s">
        <v>132</v>
      </c>
      <c r="J27" s="106" t="s">
        <v>132</v>
      </c>
      <c r="K27" s="124" t="s">
        <v>132</v>
      </c>
      <c r="L27" s="99" t="s">
        <v>132</v>
      </c>
      <c r="M27" s="124" t="s">
        <v>132</v>
      </c>
      <c r="N27" s="124" t="s">
        <v>132</v>
      </c>
      <c r="O27" s="99" t="s">
        <v>132</v>
      </c>
      <c r="P27" s="124" t="s">
        <v>132</v>
      </c>
      <c r="Q27" s="99" t="s">
        <v>132</v>
      </c>
      <c r="R27" s="124" t="s">
        <v>132</v>
      </c>
      <c r="S27" s="107" t="s">
        <v>304</v>
      </c>
    </row>
    <row r="28" spans="1:19" ht="30" customHeight="1">
      <c r="A28" s="112">
        <v>15</v>
      </c>
      <c r="B28" s="101" t="s">
        <v>307</v>
      </c>
      <c r="C28" s="102" t="s">
        <v>308</v>
      </c>
      <c r="D28" s="103" t="s">
        <v>281</v>
      </c>
      <c r="E28" s="103" t="s">
        <v>272</v>
      </c>
      <c r="F28" s="104">
        <v>46162</v>
      </c>
      <c r="G28" s="104">
        <f>F28+90</f>
        <v>46252</v>
      </c>
      <c r="H28" s="106">
        <v>2750000</v>
      </c>
      <c r="I28" s="106" t="s">
        <v>132</v>
      </c>
      <c r="J28" s="106" t="s">
        <v>132</v>
      </c>
      <c r="K28" s="124" t="s">
        <v>132</v>
      </c>
      <c r="L28" s="99" t="s">
        <v>132</v>
      </c>
      <c r="M28" s="124" t="s">
        <v>132</v>
      </c>
      <c r="N28" s="124" t="s">
        <v>132</v>
      </c>
      <c r="O28" s="99" t="s">
        <v>132</v>
      </c>
      <c r="P28" s="124" t="s">
        <v>132</v>
      </c>
      <c r="Q28" s="99" t="s">
        <v>132</v>
      </c>
      <c r="R28" s="124" t="s">
        <v>132</v>
      </c>
      <c r="S28" s="107" t="s">
        <v>304</v>
      </c>
    </row>
    <row r="29" spans="1:19" ht="30" customHeight="1" thickBot="1">
      <c r="A29" s="532" t="s">
        <v>309</v>
      </c>
      <c r="B29" s="533"/>
      <c r="C29" s="533"/>
      <c r="D29" s="533"/>
      <c r="E29" s="533"/>
      <c r="F29" s="533"/>
      <c r="G29" s="534"/>
      <c r="H29" s="127">
        <f>SUM(H7:H27)</f>
        <v>244250000</v>
      </c>
      <c r="I29" s="127">
        <f>SUM(I7:I24)</f>
        <v>135000000</v>
      </c>
      <c r="J29" s="127">
        <f>SUM(J7:J27)</f>
        <v>2865000000</v>
      </c>
      <c r="K29" s="116">
        <f>SUM(K7:K27)</f>
        <v>1119258218.2305686</v>
      </c>
      <c r="L29" s="128">
        <f>SUM(L7:L27)</f>
        <v>869850000</v>
      </c>
      <c r="M29" s="116">
        <f>SUM(M7:M27)</f>
        <v>217930000</v>
      </c>
      <c r="N29" s="117">
        <f>IFERROR(M29/K29,"-")</f>
        <v>0.19470931412460368</v>
      </c>
      <c r="O29" s="128">
        <f>SUM(O7:O27)</f>
        <v>348300000</v>
      </c>
      <c r="P29" s="116">
        <f>TongHopLuongThuong_NhanSu!T19</f>
        <v>169920000</v>
      </c>
      <c r="Q29" s="128">
        <f>SUM(Q7:Q27)</f>
        <v>32400000</v>
      </c>
      <c r="R29" s="116">
        <f>TongHopLuongThuong_NhanSu!U19</f>
        <v>5300000</v>
      </c>
      <c r="S29" s="129"/>
    </row>
    <row r="30" spans="1:19" ht="15" customHeight="1">
      <c r="A30" s="118"/>
      <c r="B30" s="118"/>
      <c r="C30" s="118"/>
      <c r="D30" s="118"/>
      <c r="E30" s="118"/>
      <c r="F30" s="118"/>
      <c r="G30" s="118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</row>
    <row r="31" spans="1:19" ht="60" customHeight="1">
      <c r="C31" s="539" t="s">
        <v>310</v>
      </c>
      <c r="D31" s="539"/>
      <c r="E31" s="539"/>
      <c r="F31" s="539"/>
      <c r="G31" s="539"/>
      <c r="H31" s="120">
        <f>H29-H7-H8</f>
        <v>167450000</v>
      </c>
      <c r="I31" s="121"/>
      <c r="J31" s="121">
        <f>J29-J7-J8</f>
        <v>1943400000</v>
      </c>
      <c r="K31" s="121">
        <f>K29-K7-K8</f>
        <v>710508218.23056865</v>
      </c>
      <c r="O31" s="151" t="s">
        <v>311</v>
      </c>
      <c r="P31" s="122"/>
      <c r="Q31" s="121">
        <f>O29+Q29</f>
        <v>380700000</v>
      </c>
      <c r="R31" s="121"/>
    </row>
    <row r="32" spans="1:19" ht="40.049999999999997" customHeight="1">
      <c r="D32" s="530" t="s">
        <v>312</v>
      </c>
      <c r="E32" s="531"/>
      <c r="F32" s="531"/>
      <c r="G32" s="531"/>
      <c r="H32" s="531"/>
      <c r="I32" s="123"/>
      <c r="J32" s="538" t="s">
        <v>313</v>
      </c>
      <c r="K32" s="531"/>
      <c r="L32" s="531"/>
      <c r="M32" s="531"/>
      <c r="N32" s="531"/>
      <c r="O32" s="531"/>
    </row>
    <row r="33" spans="4:14" ht="40.049999999999997" customHeight="1">
      <c r="D33" s="531"/>
      <c r="E33" s="531"/>
      <c r="F33" s="531"/>
      <c r="G33" s="531"/>
      <c r="H33" s="531"/>
      <c r="I33" s="123"/>
      <c r="J33" s="123"/>
      <c r="K33" s="123"/>
      <c r="L33" s="123"/>
      <c r="M33" s="123"/>
      <c r="N33" s="123"/>
    </row>
    <row r="34" spans="4:14" ht="40.049999999999997" customHeight="1">
      <c r="D34" s="531"/>
      <c r="E34" s="531"/>
      <c r="F34" s="531"/>
      <c r="G34" s="531"/>
      <c r="H34" s="531"/>
      <c r="I34" s="123"/>
      <c r="J34" s="123"/>
      <c r="K34" s="123"/>
      <c r="L34" s="123"/>
      <c r="M34" s="123"/>
      <c r="N34" s="123"/>
    </row>
    <row r="35" spans="4:14" ht="40.049999999999997" customHeight="1">
      <c r="D35" s="531"/>
      <c r="E35" s="531"/>
      <c r="F35" s="531"/>
      <c r="G35" s="531"/>
      <c r="H35" s="531"/>
      <c r="I35" s="123"/>
      <c r="J35" s="123"/>
      <c r="K35" s="123"/>
      <c r="L35" s="123"/>
      <c r="M35" s="123"/>
      <c r="N35" s="123"/>
    </row>
    <row r="36" spans="4:14"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3"/>
    </row>
  </sheetData>
  <mergeCells count="23">
    <mergeCell ref="D32:H35"/>
    <mergeCell ref="A29:G29"/>
    <mergeCell ref="L4:N4"/>
    <mergeCell ref="A20:S20"/>
    <mergeCell ref="J32:O32"/>
    <mergeCell ref="D4:D5"/>
    <mergeCell ref="A9:S9"/>
    <mergeCell ref="C31:G31"/>
    <mergeCell ref="O4:P4"/>
    <mergeCell ref="Q4:R4"/>
    <mergeCell ref="J4:K4"/>
    <mergeCell ref="G4:G5"/>
    <mergeCell ref="A6:S6"/>
    <mergeCell ref="I4:I5"/>
    <mergeCell ref="S4:S5"/>
    <mergeCell ref="A10:A11"/>
    <mergeCell ref="A16:S16"/>
    <mergeCell ref="A25:S25"/>
    <mergeCell ref="F4:F5"/>
    <mergeCell ref="H4:H5"/>
    <mergeCell ref="A12:S12"/>
    <mergeCell ref="C4:C5"/>
    <mergeCell ref="E4:E5"/>
  </mergeCells>
  <pageMargins left="0.7" right="0.7" top="0.75" bottom="0.75" header="0.3" footer="0.3"/>
  <pageSetup orientation="portrait" r:id="rId1"/>
  <ignoredErrors>
    <ignoredError sqref="M7:M8 M13:M15 M17:M19 M21:M24" formulaRange="1"/>
    <ignoredError sqref="P29 N29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9"/>
  <sheetViews>
    <sheetView showGridLines="0" tabSelected="1" view="pageBreakPreview" topLeftCell="E1" zoomScale="70" zoomScaleNormal="100" zoomScaleSheetLayoutView="70" workbookViewId="0">
      <pane ySplit="5" topLeftCell="A6" activePane="bottomLeft" state="frozen"/>
      <selection pane="bottomLeft" activeCell="U24" sqref="U24"/>
    </sheetView>
  </sheetViews>
  <sheetFormatPr defaultColWidth="8.6640625" defaultRowHeight="19.2" outlineLevelCol="1"/>
  <cols>
    <col min="1" max="1" width="10.77734375" style="1" customWidth="1"/>
    <col min="2" max="2" width="15.77734375" style="1" customWidth="1"/>
    <col min="3" max="3" width="30.77734375" style="1" customWidth="1"/>
    <col min="4" max="6" width="15.77734375" style="1" customWidth="1"/>
    <col min="7" max="12" width="20.77734375" style="1" hidden="1" customWidth="1" outlineLevel="1"/>
    <col min="13" max="13" width="20.77734375" style="1" customWidth="1" collapsed="1"/>
    <col min="14" max="18" width="20.77734375" style="1" customWidth="1"/>
    <col min="19" max="19" width="25.77734375" style="1" customWidth="1"/>
    <col min="20" max="21" width="15.77734375" style="1" customWidth="1"/>
    <col min="22" max="22" width="60.77734375" style="1" customWidth="1"/>
    <col min="23" max="23" width="8.6640625" style="1" customWidth="1"/>
    <col min="24" max="16384" width="8.6640625" style="1"/>
  </cols>
  <sheetData>
    <row r="1" spans="1:22" ht="15" customHeight="1"/>
    <row r="2" spans="1:22" ht="79.95" customHeight="1">
      <c r="A2" s="548" t="s">
        <v>314</v>
      </c>
      <c r="B2" s="549"/>
      <c r="C2" s="549"/>
      <c r="D2" s="549"/>
      <c r="E2" s="549"/>
      <c r="F2" s="549"/>
      <c r="G2" s="549"/>
      <c r="H2" s="549"/>
      <c r="I2" s="549"/>
      <c r="J2" s="549"/>
      <c r="K2" s="549"/>
      <c r="L2" s="549"/>
      <c r="M2" s="549"/>
      <c r="N2" s="549"/>
      <c r="O2" s="549"/>
      <c r="P2" s="549"/>
      <c r="Q2" s="549"/>
      <c r="R2" s="549"/>
      <c r="S2" s="549"/>
    </row>
    <row r="3" spans="1:22" ht="15" customHeight="1" thickBot="1"/>
    <row r="4" spans="1:22" ht="30" customHeight="1">
      <c r="A4" s="545" t="s">
        <v>159</v>
      </c>
      <c r="B4" s="550" t="s">
        <v>315</v>
      </c>
      <c r="C4" s="550" t="s">
        <v>242</v>
      </c>
      <c r="D4" s="550" t="s">
        <v>316</v>
      </c>
      <c r="E4" s="550" t="s">
        <v>317</v>
      </c>
      <c r="F4" s="550" t="s">
        <v>318</v>
      </c>
      <c r="G4" s="547" t="s">
        <v>319</v>
      </c>
      <c r="H4" s="546"/>
      <c r="I4" s="546"/>
      <c r="J4" s="546"/>
      <c r="K4" s="546"/>
      <c r="L4" s="540"/>
      <c r="M4" s="545" t="s">
        <v>320</v>
      </c>
      <c r="N4" s="546"/>
      <c r="O4" s="546"/>
      <c r="P4" s="546"/>
      <c r="Q4" s="546"/>
      <c r="R4" s="546"/>
      <c r="S4" s="546"/>
      <c r="T4" s="546"/>
      <c r="U4" s="540"/>
      <c r="V4" s="146"/>
    </row>
    <row r="5" spans="1:22" ht="60" customHeight="1" thickBot="1">
      <c r="A5" s="544"/>
      <c r="B5" s="529"/>
      <c r="C5" s="529"/>
      <c r="D5" s="529"/>
      <c r="E5" s="529"/>
      <c r="F5" s="529"/>
      <c r="G5" s="131" t="s">
        <v>321</v>
      </c>
      <c r="H5" s="131" t="s">
        <v>322</v>
      </c>
      <c r="I5" s="131" t="s">
        <v>323</v>
      </c>
      <c r="J5" s="131" t="s">
        <v>324</v>
      </c>
      <c r="K5" s="131" t="s">
        <v>325</v>
      </c>
      <c r="L5" s="143" t="s">
        <v>326</v>
      </c>
      <c r="M5" s="134" t="s">
        <v>321</v>
      </c>
      <c r="N5" s="135" t="s">
        <v>322</v>
      </c>
      <c r="O5" s="135" t="s">
        <v>323</v>
      </c>
      <c r="P5" s="135" t="s">
        <v>324</v>
      </c>
      <c r="Q5" s="135" t="s">
        <v>325</v>
      </c>
      <c r="R5" s="135" t="s">
        <v>326</v>
      </c>
      <c r="S5" s="135" t="s">
        <v>327</v>
      </c>
      <c r="T5" s="138" t="s">
        <v>328</v>
      </c>
      <c r="U5" s="138" t="s">
        <v>329</v>
      </c>
      <c r="V5" s="139" t="s">
        <v>166</v>
      </c>
    </row>
    <row r="6" spans="1:22" ht="40.049999999999997" customHeight="1">
      <c r="A6" s="2">
        <v>1</v>
      </c>
      <c r="B6" s="3" t="s">
        <v>256</v>
      </c>
      <c r="C6" s="4" t="s">
        <v>257</v>
      </c>
      <c r="D6" s="5">
        <v>31914</v>
      </c>
      <c r="E6" s="5">
        <v>45943</v>
      </c>
      <c r="F6" s="5" t="s">
        <v>132</v>
      </c>
      <c r="G6" s="132">
        <v>26617500</v>
      </c>
      <c r="H6" s="132">
        <v>0</v>
      </c>
      <c r="I6" s="132">
        <v>0</v>
      </c>
      <c r="J6" s="132">
        <v>0</v>
      </c>
      <c r="K6" s="132">
        <v>0</v>
      </c>
      <c r="L6" s="147">
        <f t="shared" ref="L6:L18" si="0">SUM(G6:K6)</f>
        <v>26617500</v>
      </c>
      <c r="M6" s="145">
        <v>184235000</v>
      </c>
      <c r="N6" s="6">
        <v>1000000</v>
      </c>
      <c r="O6" s="6">
        <v>0</v>
      </c>
      <c r="P6" s="6">
        <v>2000000</v>
      </c>
      <c r="Q6" s="6">
        <v>30000000</v>
      </c>
      <c r="R6" s="6">
        <f t="shared" ref="R6:R18" si="1">SUM(M6:Q6)</f>
        <v>217235000</v>
      </c>
      <c r="S6" s="137">
        <f t="shared" ref="S6:S18" si="2">SUM(N6:Q6)/M6</f>
        <v>0.17911905989632806</v>
      </c>
      <c r="T6" s="141">
        <v>23040000</v>
      </c>
      <c r="U6" s="142">
        <v>1440000</v>
      </c>
      <c r="V6" s="149" t="s">
        <v>330</v>
      </c>
    </row>
    <row r="7" spans="1:22" ht="40.049999999999997" customHeight="1">
      <c r="A7" s="7">
        <v>2</v>
      </c>
      <c r="B7" s="8" t="s">
        <v>260</v>
      </c>
      <c r="C7" s="9" t="s">
        <v>261</v>
      </c>
      <c r="D7" s="10">
        <v>35128</v>
      </c>
      <c r="E7" s="10">
        <v>45962</v>
      </c>
      <c r="F7" s="10" t="s">
        <v>132</v>
      </c>
      <c r="G7" s="133">
        <v>64125000</v>
      </c>
      <c r="H7" s="133">
        <v>0</v>
      </c>
      <c r="I7" s="133">
        <v>0</v>
      </c>
      <c r="J7" s="133">
        <v>0</v>
      </c>
      <c r="K7" s="133">
        <v>0</v>
      </c>
      <c r="L7" s="148">
        <f t="shared" si="0"/>
        <v>64125000</v>
      </c>
      <c r="M7" s="144">
        <v>224515000</v>
      </c>
      <c r="N7" s="11">
        <v>1000000</v>
      </c>
      <c r="O7" s="11">
        <v>10560000</v>
      </c>
      <c r="P7" s="11">
        <v>2000000</v>
      </c>
      <c r="Q7" s="11">
        <v>96000000</v>
      </c>
      <c r="R7" s="11">
        <f t="shared" si="1"/>
        <v>334075000</v>
      </c>
      <c r="S7" s="136">
        <f t="shared" si="2"/>
        <v>0.4879852125693161</v>
      </c>
      <c r="T7" s="142">
        <v>42560000</v>
      </c>
      <c r="U7" s="142">
        <v>1140000</v>
      </c>
      <c r="V7" s="149" t="s">
        <v>331</v>
      </c>
    </row>
    <row r="8" spans="1:22" ht="40.049999999999997" customHeight="1">
      <c r="A8" s="7">
        <v>3</v>
      </c>
      <c r="B8" s="8" t="s">
        <v>277</v>
      </c>
      <c r="C8" s="9" t="s">
        <v>413</v>
      </c>
      <c r="D8" s="10">
        <v>35883</v>
      </c>
      <c r="E8" s="10">
        <v>45943</v>
      </c>
      <c r="F8" s="10">
        <v>46132</v>
      </c>
      <c r="G8" s="133"/>
      <c r="H8" s="133"/>
      <c r="I8" s="133"/>
      <c r="J8" s="133"/>
      <c r="K8" s="133"/>
      <c r="L8" s="148"/>
      <c r="M8" s="144">
        <v>90199687</v>
      </c>
      <c r="N8" s="11">
        <v>500000</v>
      </c>
      <c r="O8" s="11">
        <v>5000000</v>
      </c>
      <c r="P8" s="11">
        <v>2000000</v>
      </c>
      <c r="Q8" s="11">
        <v>8000000</v>
      </c>
      <c r="R8" s="11">
        <f t="shared" si="1"/>
        <v>105699687</v>
      </c>
      <c r="S8" s="136">
        <f t="shared" si="2"/>
        <v>0.1718409510667149</v>
      </c>
      <c r="T8" s="142">
        <v>11520000</v>
      </c>
      <c r="U8" s="142">
        <v>0</v>
      </c>
      <c r="V8" s="149" t="s">
        <v>414</v>
      </c>
    </row>
    <row r="9" spans="1:22" ht="40.049999999999997" customHeight="1">
      <c r="A9" s="7">
        <v>4</v>
      </c>
      <c r="B9" s="8" t="s">
        <v>277</v>
      </c>
      <c r="C9" s="9" t="s">
        <v>280</v>
      </c>
      <c r="D9" s="10">
        <v>36628</v>
      </c>
      <c r="E9" s="10">
        <v>46023</v>
      </c>
      <c r="F9" s="10">
        <v>46388</v>
      </c>
      <c r="G9" s="133">
        <v>22747800</v>
      </c>
      <c r="H9" s="133">
        <v>0</v>
      </c>
      <c r="I9" s="133">
        <v>0</v>
      </c>
      <c r="J9" s="133">
        <v>0</v>
      </c>
      <c r="K9" s="133">
        <v>0</v>
      </c>
      <c r="L9" s="148">
        <f t="shared" si="0"/>
        <v>22747800</v>
      </c>
      <c r="M9" s="144">
        <f>97955000+9828000+9147600</f>
        <v>116930600</v>
      </c>
      <c r="N9" s="11">
        <v>500000</v>
      </c>
      <c r="O9" s="11">
        <v>7700000</v>
      </c>
      <c r="P9" s="11">
        <v>2000000</v>
      </c>
      <c r="Q9" s="11">
        <v>7000000</v>
      </c>
      <c r="R9" s="11">
        <f t="shared" si="1"/>
        <v>134130600</v>
      </c>
      <c r="S9" s="136">
        <f t="shared" si="2"/>
        <v>0.14709579870453071</v>
      </c>
      <c r="T9" s="142">
        <v>17920000</v>
      </c>
      <c r="U9" s="142">
        <v>480000</v>
      </c>
      <c r="V9" s="149" t="s">
        <v>332</v>
      </c>
    </row>
    <row r="10" spans="1:22" ht="40.049999999999997" customHeight="1">
      <c r="A10" s="7">
        <v>5</v>
      </c>
      <c r="B10" s="8" t="s">
        <v>283</v>
      </c>
      <c r="C10" s="9" t="s">
        <v>284</v>
      </c>
      <c r="D10" s="10">
        <v>36916</v>
      </c>
      <c r="E10" s="10">
        <v>46032</v>
      </c>
      <c r="F10" s="10">
        <v>46396</v>
      </c>
      <c r="G10" s="133">
        <v>19493600</v>
      </c>
      <c r="H10" s="133">
        <v>0</v>
      </c>
      <c r="I10" s="133">
        <v>0</v>
      </c>
      <c r="J10" s="133">
        <v>0</v>
      </c>
      <c r="K10" s="133">
        <v>0</v>
      </c>
      <c r="L10" s="148">
        <f t="shared" si="0"/>
        <v>19493600</v>
      </c>
      <c r="M10" s="144">
        <f>91967448.9795918 +  7421400+6755020</f>
        <v>106143868.9795918</v>
      </c>
      <c r="N10" s="11">
        <v>500000</v>
      </c>
      <c r="O10" s="11">
        <v>7315000</v>
      </c>
      <c r="P10" s="11">
        <v>2000000</v>
      </c>
      <c r="Q10" s="11">
        <v>6650000</v>
      </c>
      <c r="R10" s="11">
        <f t="shared" si="1"/>
        <v>122608868.9795918</v>
      </c>
      <c r="S10" s="136">
        <f t="shared" si="2"/>
        <v>0.15511965182996781</v>
      </c>
      <c r="T10" s="142">
        <v>17920000</v>
      </c>
      <c r="U10" s="142">
        <v>480000</v>
      </c>
      <c r="V10" s="149" t="s">
        <v>332</v>
      </c>
    </row>
    <row r="11" spans="1:22" ht="40.049999999999997" customHeight="1">
      <c r="A11" s="7">
        <v>6</v>
      </c>
      <c r="B11" s="8" t="s">
        <v>286</v>
      </c>
      <c r="C11" s="9" t="s">
        <v>287</v>
      </c>
      <c r="D11" s="10">
        <v>36291</v>
      </c>
      <c r="E11" s="10">
        <v>46055</v>
      </c>
      <c r="F11" s="10">
        <v>46419</v>
      </c>
      <c r="G11" s="133">
        <v>12015000</v>
      </c>
      <c r="H11" s="133">
        <v>0</v>
      </c>
      <c r="I11" s="133">
        <v>0</v>
      </c>
      <c r="J11" s="133">
        <v>0</v>
      </c>
      <c r="K11" s="133">
        <v>0</v>
      </c>
      <c r="L11" s="148">
        <f t="shared" si="0"/>
        <v>12015000</v>
      </c>
      <c r="M11" s="144">
        <f>99280255.1020408+10773000</f>
        <v>110053255.1020408</v>
      </c>
      <c r="N11" s="11">
        <v>500000</v>
      </c>
      <c r="O11" s="11">
        <v>8030000</v>
      </c>
      <c r="P11" s="11">
        <v>1000000</v>
      </c>
      <c r="Q11" s="11">
        <v>6650000</v>
      </c>
      <c r="R11" s="11">
        <f t="shared" si="1"/>
        <v>126233255.1020408</v>
      </c>
      <c r="S11" s="136">
        <f t="shared" si="2"/>
        <v>0.1470197313564055</v>
      </c>
      <c r="T11" s="142">
        <v>15360000</v>
      </c>
      <c r="U11" s="142">
        <v>480000</v>
      </c>
      <c r="V11" s="149" t="s">
        <v>333</v>
      </c>
    </row>
    <row r="12" spans="1:22" ht="40.049999999999997" customHeight="1">
      <c r="A12" s="7">
        <v>7</v>
      </c>
      <c r="B12" s="8" t="s">
        <v>269</v>
      </c>
      <c r="C12" s="9" t="s">
        <v>334</v>
      </c>
      <c r="D12" s="10">
        <v>35624</v>
      </c>
      <c r="E12" s="10">
        <v>46063</v>
      </c>
      <c r="F12" s="10">
        <v>46428</v>
      </c>
      <c r="G12" s="133">
        <v>9015300</v>
      </c>
      <c r="H12" s="133">
        <v>0</v>
      </c>
      <c r="I12" s="133">
        <v>0</v>
      </c>
      <c r="J12" s="133">
        <v>0</v>
      </c>
      <c r="K12" s="133">
        <v>0</v>
      </c>
      <c r="L12" s="148">
        <f t="shared" si="0"/>
        <v>9015300</v>
      </c>
      <c r="M12" s="144">
        <f>127605000+8091900</f>
        <v>135696900</v>
      </c>
      <c r="N12" s="11">
        <v>700000</v>
      </c>
      <c r="O12" s="11">
        <v>10175000</v>
      </c>
      <c r="P12" s="11">
        <v>1000000</v>
      </c>
      <c r="Q12" s="11">
        <v>9250000</v>
      </c>
      <c r="R12" s="11">
        <f t="shared" si="1"/>
        <v>156821900</v>
      </c>
      <c r="S12" s="136">
        <f t="shared" si="2"/>
        <v>0.1556778378872325</v>
      </c>
      <c r="T12" s="142">
        <v>19200000</v>
      </c>
      <c r="U12" s="142">
        <v>600000</v>
      </c>
      <c r="V12" s="149" t="s">
        <v>333</v>
      </c>
    </row>
    <row r="13" spans="1:22" ht="40.049999999999997" customHeight="1">
      <c r="A13" s="7">
        <v>8</v>
      </c>
      <c r="B13" s="8" t="s">
        <v>289</v>
      </c>
      <c r="C13" s="9" t="s">
        <v>290</v>
      </c>
      <c r="D13" s="10">
        <v>37618</v>
      </c>
      <c r="E13" s="10">
        <v>46161</v>
      </c>
      <c r="F13" s="10">
        <v>46526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48">
        <f t="shared" si="0"/>
        <v>0</v>
      </c>
      <c r="M13" s="144">
        <v>46415585.106383003</v>
      </c>
      <c r="N13" s="11">
        <v>500000</v>
      </c>
      <c r="O13" s="11">
        <v>1000000</v>
      </c>
      <c r="P13" s="11">
        <v>0</v>
      </c>
      <c r="Q13" s="11">
        <v>0</v>
      </c>
      <c r="R13" s="11">
        <f t="shared" si="1"/>
        <v>47915585.106383003</v>
      </c>
      <c r="S13" s="136">
        <f t="shared" si="2"/>
        <v>3.2316731472027099E-2</v>
      </c>
      <c r="T13" s="142">
        <v>4480000</v>
      </c>
      <c r="U13" s="142">
        <v>280000</v>
      </c>
      <c r="V13" s="149" t="s">
        <v>335</v>
      </c>
    </row>
    <row r="14" spans="1:22" ht="40.049999999999997" customHeight="1">
      <c r="A14" s="7">
        <v>9</v>
      </c>
      <c r="B14" s="8" t="s">
        <v>294</v>
      </c>
      <c r="C14" s="9" t="s">
        <v>295</v>
      </c>
      <c r="D14" s="10">
        <v>34217</v>
      </c>
      <c r="E14" s="10">
        <v>46223</v>
      </c>
      <c r="F14" s="10">
        <v>46587</v>
      </c>
      <c r="G14" s="133">
        <v>0</v>
      </c>
      <c r="H14" s="133">
        <v>0</v>
      </c>
      <c r="I14" s="133">
        <v>0</v>
      </c>
      <c r="J14" s="133">
        <v>0</v>
      </c>
      <c r="K14" s="133">
        <v>0</v>
      </c>
      <c r="L14" s="148">
        <f t="shared" si="0"/>
        <v>0</v>
      </c>
      <c r="M14" s="144">
        <v>30366914.893617</v>
      </c>
      <c r="N14" s="11">
        <v>500000</v>
      </c>
      <c r="O14" s="11">
        <v>0</v>
      </c>
      <c r="P14" s="11">
        <v>0</v>
      </c>
      <c r="Q14" s="11">
        <v>0</v>
      </c>
      <c r="R14" s="11">
        <f t="shared" si="1"/>
        <v>30866914.893617</v>
      </c>
      <c r="S14" s="136">
        <f t="shared" si="2"/>
        <v>1.6465288019926513E-2</v>
      </c>
      <c r="T14" s="142">
        <v>0</v>
      </c>
      <c r="U14" s="142">
        <v>0</v>
      </c>
      <c r="V14" s="149" t="s">
        <v>336</v>
      </c>
    </row>
    <row r="15" spans="1:22" ht="40.049999999999997" customHeight="1">
      <c r="A15" s="7">
        <v>10</v>
      </c>
      <c r="B15" s="8" t="s">
        <v>337</v>
      </c>
      <c r="C15" s="9" t="s">
        <v>293</v>
      </c>
      <c r="D15" s="10">
        <v>34875</v>
      </c>
      <c r="E15" s="10">
        <v>46223</v>
      </c>
      <c r="F15" s="10">
        <v>46587</v>
      </c>
      <c r="G15" s="133">
        <v>0</v>
      </c>
      <c r="H15" s="133">
        <v>0</v>
      </c>
      <c r="I15" s="133">
        <v>0</v>
      </c>
      <c r="J15" s="133">
        <v>0</v>
      </c>
      <c r="K15" s="133">
        <v>0</v>
      </c>
      <c r="L15" s="148">
        <f t="shared" si="0"/>
        <v>0</v>
      </c>
      <c r="M15" s="144">
        <v>38482313.829787202</v>
      </c>
      <c r="N15" s="11">
        <v>0</v>
      </c>
      <c r="O15" s="11">
        <v>0</v>
      </c>
      <c r="P15" s="11">
        <v>0</v>
      </c>
      <c r="Q15" s="11">
        <v>0</v>
      </c>
      <c r="R15" s="11">
        <f t="shared" si="1"/>
        <v>38482313.829787202</v>
      </c>
      <c r="S15" s="136">
        <f t="shared" si="2"/>
        <v>0</v>
      </c>
      <c r="T15" s="142">
        <v>0</v>
      </c>
      <c r="U15" s="142">
        <v>0</v>
      </c>
      <c r="V15" s="149" t="s">
        <v>336</v>
      </c>
    </row>
    <row r="16" spans="1:22" ht="40.049999999999997" customHeight="1">
      <c r="A16" s="7">
        <v>11</v>
      </c>
      <c r="B16" s="8" t="s">
        <v>274</v>
      </c>
      <c r="C16" s="9" t="s">
        <v>275</v>
      </c>
      <c r="D16" s="10">
        <v>35983</v>
      </c>
      <c r="E16" s="10">
        <v>46168</v>
      </c>
      <c r="F16" s="10">
        <v>46532</v>
      </c>
      <c r="G16" s="133">
        <v>0</v>
      </c>
      <c r="H16" s="133">
        <v>0</v>
      </c>
      <c r="I16" s="133">
        <v>0</v>
      </c>
      <c r="J16" s="133">
        <v>0</v>
      </c>
      <c r="K16" s="133">
        <v>0</v>
      </c>
      <c r="L16" s="148">
        <f t="shared" si="0"/>
        <v>0</v>
      </c>
      <c r="M16" s="144">
        <v>74492380.319148898</v>
      </c>
      <c r="N16" s="11">
        <v>700000</v>
      </c>
      <c r="O16" s="11">
        <v>1000000</v>
      </c>
      <c r="P16" s="11">
        <v>0</v>
      </c>
      <c r="Q16" s="11">
        <v>0</v>
      </c>
      <c r="R16" s="11">
        <f t="shared" si="1"/>
        <v>76192380.319148898</v>
      </c>
      <c r="S16" s="136">
        <f t="shared" si="2"/>
        <v>2.2821126036202129E-2</v>
      </c>
      <c r="T16" s="142">
        <v>6400000</v>
      </c>
      <c r="U16" s="142">
        <v>400000</v>
      </c>
      <c r="V16" s="149" t="s">
        <v>335</v>
      </c>
    </row>
    <row r="17" spans="1:22" ht="40.049999999999997" customHeight="1">
      <c r="A17" s="7">
        <v>12</v>
      </c>
      <c r="B17" s="8" t="s">
        <v>292</v>
      </c>
      <c r="C17" s="9" t="s">
        <v>278</v>
      </c>
      <c r="D17" s="10">
        <v>36009</v>
      </c>
      <c r="E17" s="10">
        <v>46236</v>
      </c>
      <c r="F17" s="10">
        <v>46600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48">
        <f t="shared" si="0"/>
        <v>0</v>
      </c>
      <c r="M17" s="144">
        <v>34601400</v>
      </c>
      <c r="N17" s="11">
        <v>700000</v>
      </c>
      <c r="O17" s="11">
        <v>0</v>
      </c>
      <c r="P17" s="11">
        <v>0</v>
      </c>
      <c r="Q17" s="11">
        <v>0</v>
      </c>
      <c r="R17" s="11">
        <f t="shared" si="1"/>
        <v>35301400</v>
      </c>
      <c r="S17" s="136">
        <f t="shared" si="2"/>
        <v>2.0230395301924199E-2</v>
      </c>
      <c r="T17" s="142">
        <v>0</v>
      </c>
      <c r="U17" s="142">
        <v>0</v>
      </c>
      <c r="V17" s="149" t="s">
        <v>336</v>
      </c>
    </row>
    <row r="18" spans="1:22" ht="40.049999999999997" customHeight="1" thickBot="1">
      <c r="A18" s="601">
        <v>13</v>
      </c>
      <c r="B18" s="602" t="s">
        <v>338</v>
      </c>
      <c r="C18" s="603" t="s">
        <v>299</v>
      </c>
      <c r="D18" s="604">
        <v>35138</v>
      </c>
      <c r="E18" s="604">
        <v>46204</v>
      </c>
      <c r="F18" s="604"/>
      <c r="G18" s="605">
        <v>0</v>
      </c>
      <c r="H18" s="605">
        <v>0</v>
      </c>
      <c r="I18" s="605">
        <v>0</v>
      </c>
      <c r="J18" s="605">
        <v>0</v>
      </c>
      <c r="K18" s="605">
        <v>0</v>
      </c>
      <c r="L18" s="606">
        <f t="shared" si="0"/>
        <v>0</v>
      </c>
      <c r="M18" s="607">
        <v>17325000</v>
      </c>
      <c r="N18" s="608">
        <v>0</v>
      </c>
      <c r="O18" s="608">
        <v>0</v>
      </c>
      <c r="P18" s="608">
        <v>0</v>
      </c>
      <c r="Q18" s="608">
        <v>0</v>
      </c>
      <c r="R18" s="608">
        <f t="shared" si="1"/>
        <v>17325000</v>
      </c>
      <c r="S18" s="609">
        <f t="shared" si="2"/>
        <v>0</v>
      </c>
      <c r="T18" s="610">
        <v>0</v>
      </c>
      <c r="U18" s="610">
        <v>0</v>
      </c>
      <c r="V18" s="611" t="s">
        <v>339</v>
      </c>
    </row>
    <row r="19" spans="1:22" s="600" customFormat="1" ht="100.05" customHeight="1" thickBot="1">
      <c r="A19" s="612" t="s">
        <v>340</v>
      </c>
      <c r="B19" s="613"/>
      <c r="C19" s="613"/>
      <c r="D19" s="613"/>
      <c r="E19" s="613"/>
      <c r="F19" s="614"/>
      <c r="G19" s="615">
        <f t="shared" ref="G19:R19" si="3">SUM(G6:G18)</f>
        <v>154014200</v>
      </c>
      <c r="H19" s="615">
        <f t="shared" si="3"/>
        <v>0</v>
      </c>
      <c r="I19" s="615">
        <f t="shared" si="3"/>
        <v>0</v>
      </c>
      <c r="J19" s="615">
        <f t="shared" si="3"/>
        <v>0</v>
      </c>
      <c r="K19" s="615">
        <f t="shared" si="3"/>
        <v>0</v>
      </c>
      <c r="L19" s="616">
        <f t="shared" si="3"/>
        <v>154014200</v>
      </c>
      <c r="M19" s="617">
        <f t="shared" si="3"/>
        <v>1209457905.2305689</v>
      </c>
      <c r="N19" s="615">
        <f t="shared" si="3"/>
        <v>7100000</v>
      </c>
      <c r="O19" s="615">
        <f t="shared" si="3"/>
        <v>50780000</v>
      </c>
      <c r="P19" s="615">
        <f t="shared" si="3"/>
        <v>12000000</v>
      </c>
      <c r="Q19" s="615">
        <f t="shared" si="3"/>
        <v>163550000</v>
      </c>
      <c r="R19" s="615">
        <f t="shared" si="3"/>
        <v>1442887905.2305689</v>
      </c>
      <c r="S19" s="618"/>
      <c r="T19" s="619">
        <f>SUM(T6:T18)+11520000</f>
        <v>169920000</v>
      </c>
      <c r="U19" s="619">
        <f>SUM(U6:U18)</f>
        <v>5300000</v>
      </c>
      <c r="V19" s="620" t="s">
        <v>341</v>
      </c>
    </row>
  </sheetData>
  <mergeCells count="10">
    <mergeCell ref="M4:U4"/>
    <mergeCell ref="A19:F19"/>
    <mergeCell ref="G4:L4"/>
    <mergeCell ref="A2:S2"/>
    <mergeCell ref="B4:B5"/>
    <mergeCell ref="C4:C5"/>
    <mergeCell ref="A4:A5"/>
    <mergeCell ref="F4:F5"/>
    <mergeCell ref="D4:D5"/>
    <mergeCell ref="E4:E5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99"/>
  <sheetViews>
    <sheetView view="pageBreakPreview" zoomScale="70" zoomScaleNormal="70" zoomScaleSheetLayoutView="70" workbookViewId="0">
      <pane ySplit="1" topLeftCell="A2" activePane="bottomLeft" state="frozen"/>
      <selection pane="bottomLeft" activeCell="L102" sqref="L102"/>
    </sheetView>
  </sheetViews>
  <sheetFormatPr defaultColWidth="10.6640625" defaultRowHeight="20.100000000000001" customHeight="1" outlineLevelRow="1"/>
  <cols>
    <col min="1" max="3" width="10.6640625" style="13" customWidth="1"/>
    <col min="4" max="17" width="15.6640625" style="13" customWidth="1"/>
    <col min="18" max="18" width="10.6640625" style="13" customWidth="1"/>
    <col min="19" max="16384" width="10.6640625" style="13"/>
  </cols>
  <sheetData>
    <row r="1" spans="1:17" ht="30" customHeight="1">
      <c r="A1" s="575" t="s">
        <v>342</v>
      </c>
      <c r="B1" s="576"/>
      <c r="C1" s="576"/>
      <c r="D1" s="576"/>
      <c r="E1" s="576"/>
      <c r="F1" s="576"/>
      <c r="G1" s="582" t="s">
        <v>343</v>
      </c>
      <c r="H1" s="564"/>
      <c r="I1" s="564"/>
      <c r="J1" s="564"/>
      <c r="K1" s="564"/>
      <c r="L1" s="564"/>
      <c r="M1" s="565"/>
      <c r="N1" s="581" t="s">
        <v>344</v>
      </c>
      <c r="O1" s="570"/>
      <c r="P1" s="571"/>
      <c r="Q1" s="12">
        <v>10000000</v>
      </c>
    </row>
    <row r="2" spans="1:17" ht="30" customHeight="1">
      <c r="A2" s="14" t="s">
        <v>3</v>
      </c>
      <c r="B2" s="594" t="s">
        <v>345</v>
      </c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526"/>
      <c r="Q2" s="527"/>
    </row>
    <row r="3" spans="1:17" ht="30" customHeight="1">
      <c r="A3" s="14">
        <v>1</v>
      </c>
      <c r="B3" s="588" t="s">
        <v>346</v>
      </c>
      <c r="C3" s="526"/>
      <c r="D3" s="526"/>
      <c r="E3" s="526"/>
      <c r="F3" s="526"/>
      <c r="G3" s="526"/>
      <c r="H3" s="526"/>
      <c r="I3" s="526"/>
      <c r="J3" s="526"/>
      <c r="K3" s="526"/>
      <c r="L3" s="526"/>
      <c r="M3" s="526"/>
      <c r="N3" s="526"/>
      <c r="O3" s="526"/>
      <c r="P3" s="526"/>
      <c r="Q3" s="527"/>
    </row>
    <row r="4" spans="1:17" ht="20.100000000000001" hidden="1" customHeight="1" outlineLevel="1">
      <c r="A4" s="554" t="s">
        <v>159</v>
      </c>
      <c r="B4" s="587" t="s">
        <v>347</v>
      </c>
      <c r="C4" s="565"/>
      <c r="D4" s="554" t="s">
        <v>348</v>
      </c>
      <c r="E4" s="554" t="s">
        <v>349</v>
      </c>
      <c r="F4" s="15" t="s">
        <v>350</v>
      </c>
      <c r="G4" s="15">
        <v>0.75</v>
      </c>
      <c r="H4" s="15">
        <v>0.85</v>
      </c>
      <c r="I4" s="15">
        <v>0.95</v>
      </c>
      <c r="J4" s="15">
        <v>1.1000000000000001</v>
      </c>
      <c r="K4" s="15">
        <v>1.3</v>
      </c>
      <c r="L4" s="15">
        <v>1.4</v>
      </c>
      <c r="M4" s="15">
        <v>1.5</v>
      </c>
      <c r="N4" s="554" t="s">
        <v>166</v>
      </c>
      <c r="O4" s="564"/>
      <c r="P4" s="564"/>
      <c r="Q4" s="565"/>
    </row>
    <row r="5" spans="1:17" ht="20.100000000000001" hidden="1" customHeight="1" outlineLevel="1">
      <c r="A5" s="561"/>
      <c r="B5" s="566"/>
      <c r="C5" s="568"/>
      <c r="D5" s="561"/>
      <c r="E5" s="561"/>
      <c r="F5" s="554" t="s">
        <v>351</v>
      </c>
      <c r="G5" s="554" t="s">
        <v>352</v>
      </c>
      <c r="H5" s="554" t="s">
        <v>353</v>
      </c>
      <c r="I5" s="554" t="s">
        <v>354</v>
      </c>
      <c r="J5" s="554" t="s">
        <v>355</v>
      </c>
      <c r="K5" s="554" t="s">
        <v>356</v>
      </c>
      <c r="L5" s="554" t="s">
        <v>357</v>
      </c>
      <c r="M5" s="554" t="s">
        <v>358</v>
      </c>
      <c r="N5" s="566"/>
      <c r="O5" s="567"/>
      <c r="P5" s="567"/>
      <c r="Q5" s="568"/>
    </row>
    <row r="6" spans="1:17" ht="20.100000000000001" hidden="1" customHeight="1" outlineLevel="1">
      <c r="A6" s="529"/>
      <c r="B6" s="569"/>
      <c r="C6" s="571"/>
      <c r="D6" s="529"/>
      <c r="E6" s="529"/>
      <c r="F6" s="529"/>
      <c r="G6" s="529"/>
      <c r="H6" s="529"/>
      <c r="I6" s="529"/>
      <c r="J6" s="529"/>
      <c r="K6" s="529"/>
      <c r="L6" s="529"/>
      <c r="M6" s="529"/>
      <c r="N6" s="569"/>
      <c r="O6" s="570"/>
      <c r="P6" s="570"/>
      <c r="Q6" s="571"/>
    </row>
    <row r="7" spans="1:17" ht="20.100000000000001" hidden="1" customHeight="1" outlineLevel="1">
      <c r="A7" s="16">
        <v>1.1000000000000001</v>
      </c>
      <c r="B7" s="560" t="s">
        <v>359</v>
      </c>
      <c r="C7" s="524"/>
      <c r="D7" s="17" t="s">
        <v>360</v>
      </c>
      <c r="E7" s="17">
        <v>2</v>
      </c>
      <c r="F7" s="17" t="s">
        <v>361</v>
      </c>
      <c r="G7" s="18">
        <f>Q1*E7*G4</f>
        <v>15000000</v>
      </c>
      <c r="H7" s="18">
        <f>Q1*E7*H4</f>
        <v>17000000</v>
      </c>
      <c r="I7" s="18">
        <f>Q1*E7*I4</f>
        <v>19000000</v>
      </c>
      <c r="J7" s="18">
        <f>Q1*E7*J4</f>
        <v>22000000</v>
      </c>
      <c r="K7" s="18">
        <f>Q1*E7*K4</f>
        <v>26000000</v>
      </c>
      <c r="L7" s="18">
        <f>Q1*E7*L4</f>
        <v>28000000</v>
      </c>
      <c r="M7" s="18">
        <f>Q1*E7*M4</f>
        <v>30000000</v>
      </c>
      <c r="N7" s="583"/>
      <c r="O7" s="584"/>
      <c r="P7" s="584"/>
      <c r="Q7" s="585"/>
    </row>
    <row r="8" spans="1:17" ht="20.100000000000001" hidden="1" customHeight="1" outlineLevel="1">
      <c r="A8" s="19">
        <v>1.2</v>
      </c>
      <c r="B8" s="553" t="s">
        <v>362</v>
      </c>
      <c r="C8" s="521"/>
      <c r="D8" s="20" t="s">
        <v>363</v>
      </c>
      <c r="E8" s="20">
        <v>1</v>
      </c>
      <c r="F8" s="17" t="s">
        <v>361</v>
      </c>
      <c r="G8" s="21">
        <f>Q1*E8*G4</f>
        <v>7500000</v>
      </c>
      <c r="H8" s="21">
        <f>Q1*E8*H4</f>
        <v>8500000</v>
      </c>
      <c r="I8" s="21">
        <f>Q1*E8*I4</f>
        <v>9500000</v>
      </c>
      <c r="J8" s="21">
        <f>Q1*E8*J4</f>
        <v>11000000</v>
      </c>
      <c r="K8" s="21">
        <f>Q1*E8*K4</f>
        <v>13000000</v>
      </c>
      <c r="L8" s="21">
        <f>Q1*E8*L4</f>
        <v>14000000</v>
      </c>
      <c r="M8" s="21">
        <f>Q1*E8*M4</f>
        <v>15000000</v>
      </c>
      <c r="N8" s="558"/>
      <c r="O8" s="520"/>
      <c r="P8" s="520"/>
      <c r="Q8" s="559"/>
    </row>
    <row r="9" spans="1:17" ht="20.100000000000001" hidden="1" customHeight="1" outlineLevel="1">
      <c r="A9" s="19">
        <v>1.3</v>
      </c>
      <c r="B9" s="553" t="s">
        <v>364</v>
      </c>
      <c r="C9" s="521"/>
      <c r="D9" s="20" t="s">
        <v>365</v>
      </c>
      <c r="E9" s="20">
        <v>1</v>
      </c>
      <c r="F9" s="17" t="s">
        <v>361</v>
      </c>
      <c r="G9" s="21">
        <f>Q1*E9*G4</f>
        <v>7500000</v>
      </c>
      <c r="H9" s="21">
        <f>Q1*E9*H4</f>
        <v>8500000</v>
      </c>
      <c r="I9" s="21">
        <f>Q1*E9*I4</f>
        <v>9500000</v>
      </c>
      <c r="J9" s="21">
        <f>Q1*E9*J4</f>
        <v>11000000</v>
      </c>
      <c r="K9" s="21">
        <f>Q1*E9*K4</f>
        <v>13000000</v>
      </c>
      <c r="L9" s="21">
        <f>Q1*E9*L4</f>
        <v>14000000</v>
      </c>
      <c r="M9" s="21">
        <f>Q1*E9*M4</f>
        <v>15000000</v>
      </c>
      <c r="N9" s="558"/>
      <c r="O9" s="520"/>
      <c r="P9" s="520"/>
      <c r="Q9" s="559"/>
    </row>
    <row r="10" spans="1:17" ht="20.100000000000001" hidden="1" customHeight="1" outlineLevel="1">
      <c r="A10" s="19">
        <v>1.4</v>
      </c>
      <c r="B10" s="553" t="s">
        <v>366</v>
      </c>
      <c r="C10" s="521"/>
      <c r="D10" s="20" t="s">
        <v>367</v>
      </c>
      <c r="E10" s="20">
        <v>1</v>
      </c>
      <c r="F10" s="17" t="s">
        <v>361</v>
      </c>
      <c r="G10" s="21">
        <f>Q1*E10*G4</f>
        <v>7500000</v>
      </c>
      <c r="H10" s="21">
        <f>Q1*E10*H4</f>
        <v>8500000</v>
      </c>
      <c r="I10" s="21">
        <f>Q1*E10*I4</f>
        <v>9500000</v>
      </c>
      <c r="J10" s="21">
        <f>Q1*E10*J4</f>
        <v>11000000</v>
      </c>
      <c r="K10" s="21">
        <f>Q1*E10*K4</f>
        <v>13000000</v>
      </c>
      <c r="L10" s="21">
        <f>Q1*E10*L4</f>
        <v>14000000</v>
      </c>
      <c r="M10" s="21">
        <f>Q1*E10*M4</f>
        <v>15000000</v>
      </c>
      <c r="N10" s="558"/>
      <c r="O10" s="520"/>
      <c r="P10" s="520"/>
      <c r="Q10" s="559"/>
    </row>
    <row r="11" spans="1:17" ht="20.100000000000001" hidden="1" customHeight="1" outlineLevel="1">
      <c r="A11" s="19">
        <v>1.5</v>
      </c>
      <c r="B11" s="553" t="s">
        <v>368</v>
      </c>
      <c r="C11" s="521"/>
      <c r="D11" s="20" t="s">
        <v>369</v>
      </c>
      <c r="E11" s="20">
        <v>1</v>
      </c>
      <c r="F11" s="17" t="s">
        <v>361</v>
      </c>
      <c r="G11" s="21">
        <f>Q1*E11*G4</f>
        <v>7500000</v>
      </c>
      <c r="H11" s="21">
        <f>Q1*E11*H4</f>
        <v>8500000</v>
      </c>
      <c r="I11" s="21">
        <f>Q1*E11*I4</f>
        <v>9500000</v>
      </c>
      <c r="J11" s="21">
        <f>Q1*E11*J4</f>
        <v>11000000</v>
      </c>
      <c r="K11" s="21">
        <f>Q1*E11*K4</f>
        <v>13000000</v>
      </c>
      <c r="L11" s="21">
        <f>Q1*E11*L4</f>
        <v>14000000</v>
      </c>
      <c r="M11" s="21">
        <f>Q1*E11*M4</f>
        <v>15000000</v>
      </c>
      <c r="N11" s="558"/>
      <c r="O11" s="520"/>
      <c r="P11" s="520"/>
      <c r="Q11" s="559"/>
    </row>
    <row r="12" spans="1:17" ht="20.100000000000001" hidden="1" customHeight="1" outlineLevel="1">
      <c r="A12" s="19">
        <v>1.6</v>
      </c>
      <c r="B12" s="553" t="s">
        <v>370</v>
      </c>
      <c r="C12" s="521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63"/>
      <c r="O12" s="520"/>
      <c r="P12" s="520"/>
      <c r="Q12" s="559"/>
    </row>
    <row r="13" spans="1:17" ht="20.100000000000001" hidden="1" customHeight="1" outlineLevel="1">
      <c r="A13" s="19"/>
      <c r="B13" s="553" t="s">
        <v>371</v>
      </c>
      <c r="C13" s="521"/>
      <c r="D13" s="20"/>
      <c r="E13" s="20"/>
      <c r="F13" s="20"/>
      <c r="G13" s="21">
        <f t="shared" ref="G13:M13" si="0">SUM(G7:G12)</f>
        <v>45000000</v>
      </c>
      <c r="H13" s="21">
        <f t="shared" si="0"/>
        <v>51000000</v>
      </c>
      <c r="I13" s="21">
        <f t="shared" si="0"/>
        <v>57000000</v>
      </c>
      <c r="J13" s="21">
        <f t="shared" si="0"/>
        <v>66000000</v>
      </c>
      <c r="K13" s="21">
        <f t="shared" si="0"/>
        <v>78000000</v>
      </c>
      <c r="L13" s="21">
        <f t="shared" si="0"/>
        <v>84000000</v>
      </c>
      <c r="M13" s="21">
        <f t="shared" si="0"/>
        <v>90000000</v>
      </c>
      <c r="N13" s="558"/>
      <c r="O13" s="520"/>
      <c r="P13" s="520"/>
      <c r="Q13" s="559"/>
    </row>
    <row r="14" spans="1:17" ht="20.100000000000001" hidden="1" customHeight="1" outlineLevel="1">
      <c r="A14" s="22"/>
      <c r="B14" s="579" t="s">
        <v>372</v>
      </c>
      <c r="C14" s="580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592"/>
      <c r="O14" s="586"/>
      <c r="P14" s="586"/>
      <c r="Q14" s="593"/>
    </row>
    <row r="15" spans="1:17" ht="30" customHeight="1" collapsed="1">
      <c r="A15" s="15">
        <v>2</v>
      </c>
      <c r="B15" s="588" t="s">
        <v>373</v>
      </c>
      <c r="C15" s="526"/>
      <c r="D15" s="526"/>
      <c r="E15" s="526"/>
      <c r="F15" s="526"/>
      <c r="G15" s="526"/>
      <c r="H15" s="526"/>
      <c r="I15" s="526"/>
      <c r="J15" s="526"/>
      <c r="K15" s="526"/>
      <c r="L15" s="526"/>
      <c r="M15" s="526"/>
      <c r="N15" s="526"/>
      <c r="O15" s="526"/>
      <c r="P15" s="526"/>
      <c r="Q15" s="527"/>
    </row>
    <row r="16" spans="1:17" ht="20.100000000000001" hidden="1" customHeight="1" outlineLevel="1">
      <c r="A16" s="554" t="s">
        <v>159</v>
      </c>
      <c r="B16" s="587" t="s">
        <v>347</v>
      </c>
      <c r="C16" s="565"/>
      <c r="D16" s="554" t="s">
        <v>348</v>
      </c>
      <c r="E16" s="554" t="s">
        <v>349</v>
      </c>
      <c r="F16" s="15" t="s">
        <v>350</v>
      </c>
      <c r="G16" s="15">
        <v>0.7</v>
      </c>
      <c r="H16" s="15">
        <v>0.75</v>
      </c>
      <c r="I16" s="15">
        <v>0.8</v>
      </c>
      <c r="J16" s="15">
        <v>0.85</v>
      </c>
      <c r="K16" s="15">
        <v>0.9</v>
      </c>
      <c r="L16" s="15">
        <v>0.95</v>
      </c>
      <c r="M16" s="15">
        <v>1</v>
      </c>
      <c r="N16" s="554" t="s">
        <v>166</v>
      </c>
      <c r="O16" s="564"/>
      <c r="P16" s="564"/>
      <c r="Q16" s="565"/>
    </row>
    <row r="17" spans="1:17" ht="20.100000000000001" hidden="1" customHeight="1" outlineLevel="1">
      <c r="A17" s="561"/>
      <c r="B17" s="566"/>
      <c r="C17" s="568"/>
      <c r="D17" s="561"/>
      <c r="E17" s="561"/>
      <c r="F17" s="554" t="s">
        <v>351</v>
      </c>
      <c r="G17" s="554" t="s">
        <v>352</v>
      </c>
      <c r="H17" s="554" t="s">
        <v>353</v>
      </c>
      <c r="I17" s="554" t="s">
        <v>354</v>
      </c>
      <c r="J17" s="554" t="s">
        <v>355</v>
      </c>
      <c r="K17" s="554" t="s">
        <v>356</v>
      </c>
      <c r="L17" s="554" t="s">
        <v>357</v>
      </c>
      <c r="M17" s="554" t="s">
        <v>358</v>
      </c>
      <c r="N17" s="566"/>
      <c r="O17" s="567"/>
      <c r="P17" s="567"/>
      <c r="Q17" s="568"/>
    </row>
    <row r="18" spans="1:17" ht="20.100000000000001" hidden="1" customHeight="1" outlineLevel="1">
      <c r="A18" s="529"/>
      <c r="B18" s="569"/>
      <c r="C18" s="571"/>
      <c r="D18" s="529"/>
      <c r="E18" s="529"/>
      <c r="F18" s="529"/>
      <c r="G18" s="529"/>
      <c r="H18" s="529"/>
      <c r="I18" s="529"/>
      <c r="J18" s="529"/>
      <c r="K18" s="529"/>
      <c r="L18" s="529"/>
      <c r="M18" s="529"/>
      <c r="N18" s="569"/>
      <c r="O18" s="570"/>
      <c r="P18" s="570"/>
      <c r="Q18" s="571"/>
    </row>
    <row r="19" spans="1:17" ht="20.100000000000001" hidden="1" customHeight="1" outlineLevel="1">
      <c r="A19" s="16">
        <v>2.1</v>
      </c>
      <c r="B19" s="560" t="s">
        <v>359</v>
      </c>
      <c r="C19" s="524"/>
      <c r="D19" s="17" t="s">
        <v>360</v>
      </c>
      <c r="E19" s="17">
        <v>1.8</v>
      </c>
      <c r="F19" s="17" t="s">
        <v>361</v>
      </c>
      <c r="G19" s="18">
        <f>Q1*E19*G16</f>
        <v>12600000</v>
      </c>
      <c r="H19" s="18">
        <f>Q1*E19*H16</f>
        <v>13500000</v>
      </c>
      <c r="I19" s="18">
        <f>Q1*E19*I16</f>
        <v>14400000</v>
      </c>
      <c r="J19" s="18">
        <f>Q1*E19*J16</f>
        <v>15300000</v>
      </c>
      <c r="K19" s="18">
        <f>Q1*E19*K16</f>
        <v>16200000</v>
      </c>
      <c r="L19" s="18">
        <f>Q1*E19*L16</f>
        <v>17100000</v>
      </c>
      <c r="M19" s="18">
        <f>Q1*E19*M16</f>
        <v>18000000</v>
      </c>
      <c r="N19" s="577"/>
      <c r="O19" s="523"/>
      <c r="P19" s="523"/>
      <c r="Q19" s="578"/>
    </row>
    <row r="20" spans="1:17" ht="20.100000000000001" hidden="1" customHeight="1" outlineLevel="1">
      <c r="A20" s="19">
        <v>2.2000000000000002</v>
      </c>
      <c r="B20" s="553" t="s">
        <v>362</v>
      </c>
      <c r="C20" s="521"/>
      <c r="D20" s="20" t="s">
        <v>363</v>
      </c>
      <c r="E20" s="20">
        <v>0.8</v>
      </c>
      <c r="F20" s="17" t="s">
        <v>361</v>
      </c>
      <c r="G20" s="21">
        <f>Q1*E20*G16</f>
        <v>5600000</v>
      </c>
      <c r="H20" s="21">
        <f>Q1*E20*H16</f>
        <v>6000000</v>
      </c>
      <c r="I20" s="21">
        <f>E20*I16*Q1</f>
        <v>6400000.0000000009</v>
      </c>
      <c r="J20" s="21">
        <f>Q1*E20*J16</f>
        <v>6800000</v>
      </c>
      <c r="K20" s="21">
        <f>Q1*E20*K16</f>
        <v>7200000</v>
      </c>
      <c r="L20" s="21">
        <f>Q1*E20*L16</f>
        <v>7600000</v>
      </c>
      <c r="M20" s="21">
        <f>Q1*E20*M16</f>
        <v>8000000</v>
      </c>
      <c r="N20" s="558"/>
      <c r="O20" s="520"/>
      <c r="P20" s="520"/>
      <c r="Q20" s="559"/>
    </row>
    <row r="21" spans="1:17" ht="20.100000000000001" hidden="1" customHeight="1" outlineLevel="1">
      <c r="A21" s="19">
        <v>2.2999999999999998</v>
      </c>
      <c r="B21" s="553" t="s">
        <v>364</v>
      </c>
      <c r="C21" s="521"/>
      <c r="D21" s="20" t="s">
        <v>365</v>
      </c>
      <c r="E21" s="20">
        <v>0.8</v>
      </c>
      <c r="F21" s="17" t="s">
        <v>361</v>
      </c>
      <c r="G21" s="21">
        <f>Q1*E21*G16</f>
        <v>5600000</v>
      </c>
      <c r="H21" s="21">
        <f>Q1*E21*H16</f>
        <v>6000000</v>
      </c>
      <c r="I21" s="21">
        <f>Q1*E21*I16</f>
        <v>6400000</v>
      </c>
      <c r="J21" s="21">
        <f>Q1*E21*J16</f>
        <v>6800000</v>
      </c>
      <c r="K21" s="21">
        <f>Q1*E21*K16</f>
        <v>7200000</v>
      </c>
      <c r="L21" s="21">
        <f>Q1*E21*L16</f>
        <v>7600000</v>
      </c>
      <c r="M21" s="21">
        <f>Q1*E21*M16</f>
        <v>8000000</v>
      </c>
      <c r="N21" s="558"/>
      <c r="O21" s="520"/>
      <c r="P21" s="520"/>
      <c r="Q21" s="559"/>
    </row>
    <row r="22" spans="1:17" ht="20.100000000000001" hidden="1" customHeight="1" outlineLevel="1">
      <c r="A22" s="19">
        <v>2.4</v>
      </c>
      <c r="B22" s="553" t="s">
        <v>366</v>
      </c>
      <c r="C22" s="521"/>
      <c r="D22" s="20" t="s">
        <v>367</v>
      </c>
      <c r="E22" s="20">
        <v>0.8</v>
      </c>
      <c r="F22" s="17" t="s">
        <v>361</v>
      </c>
      <c r="G22" s="21">
        <f>Q1*E22*G16</f>
        <v>5600000</v>
      </c>
      <c r="H22" s="21">
        <f>Q1*E22*H16</f>
        <v>6000000</v>
      </c>
      <c r="I22" s="21">
        <f>E22*Q1*I16</f>
        <v>6400000</v>
      </c>
      <c r="J22" s="21">
        <f>Q1*E22*J16</f>
        <v>6800000</v>
      </c>
      <c r="K22" s="21">
        <f>Q1*E22*K16</f>
        <v>7200000</v>
      </c>
      <c r="L22" s="21">
        <f>Q1*E22*L16</f>
        <v>7600000</v>
      </c>
      <c r="M22" s="21">
        <f>Q1*E22*M16</f>
        <v>8000000</v>
      </c>
      <c r="N22" s="558"/>
      <c r="O22" s="520"/>
      <c r="P22" s="520"/>
      <c r="Q22" s="559"/>
    </row>
    <row r="23" spans="1:17" ht="20.100000000000001" hidden="1" customHeight="1" outlineLevel="1">
      <c r="A23" s="19">
        <v>2.5</v>
      </c>
      <c r="B23" s="553" t="s">
        <v>368</v>
      </c>
      <c r="C23" s="521"/>
      <c r="D23" s="20" t="s">
        <v>369</v>
      </c>
      <c r="E23" s="20">
        <v>0.8</v>
      </c>
      <c r="F23" s="17" t="s">
        <v>361</v>
      </c>
      <c r="G23" s="21">
        <f>Q1*E23*G16</f>
        <v>5600000</v>
      </c>
      <c r="H23" s="21">
        <f>Q1*E23*H16</f>
        <v>6000000</v>
      </c>
      <c r="I23" s="21">
        <f>Q1*E23*I16</f>
        <v>6400000</v>
      </c>
      <c r="J23" s="21">
        <f>Q1*E23*J16</f>
        <v>6800000</v>
      </c>
      <c r="K23" s="21">
        <f>Q1*E23*K16</f>
        <v>7200000</v>
      </c>
      <c r="L23" s="21">
        <f>Q1*E23*L16</f>
        <v>7600000</v>
      </c>
      <c r="M23" s="21">
        <f>Q1*E23*M16</f>
        <v>8000000</v>
      </c>
      <c r="N23" s="558"/>
      <c r="O23" s="520"/>
      <c r="P23" s="520"/>
      <c r="Q23" s="559"/>
    </row>
    <row r="24" spans="1:17" ht="20.100000000000001" hidden="1" customHeight="1" outlineLevel="1">
      <c r="A24" s="19">
        <v>2.6</v>
      </c>
      <c r="B24" s="553" t="s">
        <v>370</v>
      </c>
      <c r="C24" s="521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563"/>
      <c r="O24" s="520"/>
      <c r="P24" s="520"/>
      <c r="Q24" s="559"/>
    </row>
    <row r="25" spans="1:17" ht="20.100000000000001" hidden="1" customHeight="1" outlineLevel="1">
      <c r="A25" s="19"/>
      <c r="B25" s="553" t="s">
        <v>371</v>
      </c>
      <c r="C25" s="521"/>
      <c r="D25" s="20"/>
      <c r="E25" s="20"/>
      <c r="F25" s="20"/>
      <c r="G25" s="21">
        <f t="shared" ref="G25:M25" si="1">SUM(G19:G24)</f>
        <v>35000000</v>
      </c>
      <c r="H25" s="21">
        <f t="shared" si="1"/>
        <v>37500000</v>
      </c>
      <c r="I25" s="21">
        <f t="shared" si="1"/>
        <v>40000000</v>
      </c>
      <c r="J25" s="21">
        <f t="shared" si="1"/>
        <v>42500000</v>
      </c>
      <c r="K25" s="21">
        <f t="shared" si="1"/>
        <v>45000000</v>
      </c>
      <c r="L25" s="21">
        <f t="shared" si="1"/>
        <v>47500000</v>
      </c>
      <c r="M25" s="21">
        <f t="shared" si="1"/>
        <v>50000000</v>
      </c>
      <c r="N25" s="558"/>
      <c r="O25" s="520"/>
      <c r="P25" s="520"/>
      <c r="Q25" s="559"/>
    </row>
    <row r="26" spans="1:17" ht="20.100000000000001" hidden="1" customHeight="1" outlineLevel="1">
      <c r="A26" s="22"/>
      <c r="B26" s="579" t="s">
        <v>372</v>
      </c>
      <c r="C26" s="580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592"/>
      <c r="O26" s="586"/>
      <c r="P26" s="586"/>
      <c r="Q26" s="593"/>
    </row>
    <row r="27" spans="1:17" ht="30" customHeight="1" collapsed="1">
      <c r="A27" s="15" t="s">
        <v>175</v>
      </c>
      <c r="B27" s="594" t="s">
        <v>374</v>
      </c>
      <c r="C27" s="526"/>
      <c r="D27" s="526"/>
      <c r="E27" s="526"/>
      <c r="F27" s="526"/>
      <c r="G27" s="526"/>
      <c r="H27" s="526"/>
      <c r="I27" s="526"/>
      <c r="J27" s="526"/>
      <c r="K27" s="526"/>
      <c r="L27" s="526"/>
      <c r="M27" s="526"/>
      <c r="N27" s="526"/>
      <c r="O27" s="526"/>
      <c r="P27" s="526"/>
      <c r="Q27" s="527"/>
    </row>
    <row r="28" spans="1:17" ht="30" customHeight="1">
      <c r="A28" s="14">
        <v>1</v>
      </c>
      <c r="B28" s="588" t="s">
        <v>375</v>
      </c>
      <c r="C28" s="526"/>
      <c r="D28" s="526"/>
      <c r="E28" s="526"/>
      <c r="F28" s="526"/>
      <c r="G28" s="526"/>
      <c r="H28" s="526"/>
      <c r="I28" s="526"/>
      <c r="J28" s="526"/>
      <c r="K28" s="526"/>
      <c r="L28" s="526"/>
      <c r="M28" s="526"/>
      <c r="N28" s="526"/>
      <c r="O28" s="526"/>
      <c r="P28" s="526"/>
      <c r="Q28" s="527"/>
    </row>
    <row r="29" spans="1:17" ht="20.100000000000001" hidden="1" customHeight="1" outlineLevel="1">
      <c r="A29" s="554" t="s">
        <v>159</v>
      </c>
      <c r="B29" s="587" t="s">
        <v>347</v>
      </c>
      <c r="C29" s="565"/>
      <c r="D29" s="554" t="s">
        <v>348</v>
      </c>
      <c r="E29" s="554" t="s">
        <v>349</v>
      </c>
      <c r="F29" s="15" t="s">
        <v>350</v>
      </c>
      <c r="G29" s="15">
        <v>0.5</v>
      </c>
      <c r="H29" s="15">
        <v>0.55000000000000004</v>
      </c>
      <c r="I29" s="15">
        <v>0.6</v>
      </c>
      <c r="J29" s="15">
        <v>0.65</v>
      </c>
      <c r="K29" s="15">
        <v>0.7</v>
      </c>
      <c r="L29" s="15">
        <v>0.75</v>
      </c>
      <c r="M29" s="15">
        <v>0.8</v>
      </c>
      <c r="N29" s="554" t="s">
        <v>166</v>
      </c>
      <c r="O29" s="564"/>
      <c r="P29" s="564"/>
      <c r="Q29" s="565"/>
    </row>
    <row r="30" spans="1:17" ht="20.100000000000001" hidden="1" customHeight="1" outlineLevel="1">
      <c r="A30" s="561"/>
      <c r="B30" s="566"/>
      <c r="C30" s="568"/>
      <c r="D30" s="561"/>
      <c r="E30" s="561"/>
      <c r="F30" s="554" t="s">
        <v>351</v>
      </c>
      <c r="G30" s="554" t="s">
        <v>352</v>
      </c>
      <c r="H30" s="554" t="s">
        <v>353</v>
      </c>
      <c r="I30" s="554" t="s">
        <v>354</v>
      </c>
      <c r="J30" s="554" t="s">
        <v>355</v>
      </c>
      <c r="K30" s="554" t="s">
        <v>356</v>
      </c>
      <c r="L30" s="554" t="s">
        <v>357</v>
      </c>
      <c r="M30" s="554" t="s">
        <v>358</v>
      </c>
      <c r="N30" s="566"/>
      <c r="O30" s="567"/>
      <c r="P30" s="567"/>
      <c r="Q30" s="568"/>
    </row>
    <row r="31" spans="1:17" ht="20.100000000000001" hidden="1" customHeight="1" outlineLevel="1">
      <c r="A31" s="529"/>
      <c r="B31" s="569"/>
      <c r="C31" s="571"/>
      <c r="D31" s="529"/>
      <c r="E31" s="529"/>
      <c r="F31" s="529"/>
      <c r="G31" s="529"/>
      <c r="H31" s="529"/>
      <c r="I31" s="529"/>
      <c r="J31" s="529"/>
      <c r="K31" s="529"/>
      <c r="L31" s="529"/>
      <c r="M31" s="529"/>
      <c r="N31" s="569"/>
      <c r="O31" s="570"/>
      <c r="P31" s="570"/>
      <c r="Q31" s="571"/>
    </row>
    <row r="32" spans="1:17" ht="20.100000000000001" hidden="1" customHeight="1" outlineLevel="1">
      <c r="A32" s="17">
        <v>3.1</v>
      </c>
      <c r="B32" s="560" t="s">
        <v>359</v>
      </c>
      <c r="C32" s="524"/>
      <c r="D32" s="17" t="s">
        <v>360</v>
      </c>
      <c r="E32" s="17">
        <v>1.6</v>
      </c>
      <c r="F32" s="17" t="s">
        <v>361</v>
      </c>
      <c r="G32" s="18">
        <f>Q1*E32*G29</f>
        <v>8000000</v>
      </c>
      <c r="H32" s="18">
        <f>Q1*E32*H29</f>
        <v>8800000</v>
      </c>
      <c r="I32" s="18">
        <f>Q1*E32*I29</f>
        <v>9600000</v>
      </c>
      <c r="J32" s="18">
        <f>Q1*E32*J29</f>
        <v>10400000</v>
      </c>
      <c r="K32" s="18">
        <f>Q1*E32*K29</f>
        <v>11200000</v>
      </c>
      <c r="L32" s="18">
        <f>Q1*E32*L29</f>
        <v>12000000</v>
      </c>
      <c r="M32" s="18">
        <f>Q1*E32*M29</f>
        <v>12800000</v>
      </c>
      <c r="N32" s="583"/>
      <c r="O32" s="584"/>
      <c r="P32" s="584"/>
      <c r="Q32" s="585"/>
    </row>
    <row r="33" spans="1:17" ht="20.100000000000001" hidden="1" customHeight="1" outlineLevel="1">
      <c r="A33" s="20">
        <v>3.2</v>
      </c>
      <c r="B33" s="553" t="s">
        <v>362</v>
      </c>
      <c r="C33" s="521"/>
      <c r="D33" s="20" t="s">
        <v>363</v>
      </c>
      <c r="E33" s="20">
        <v>1</v>
      </c>
      <c r="F33" s="17" t="s">
        <v>361</v>
      </c>
      <c r="G33" s="21">
        <f>Q1*E33*G29</f>
        <v>5000000</v>
      </c>
      <c r="H33" s="21">
        <f>Q1*E33*H29</f>
        <v>5500000</v>
      </c>
      <c r="I33" s="21">
        <f>Q1*E33*I29</f>
        <v>6000000</v>
      </c>
      <c r="J33" s="21">
        <f>Q1*E33*J29</f>
        <v>6500000</v>
      </c>
      <c r="K33" s="21">
        <f>Q1*E33*K29</f>
        <v>7000000</v>
      </c>
      <c r="L33" s="21">
        <f>Q1*E33*L29</f>
        <v>7500000</v>
      </c>
      <c r="M33" s="21">
        <f>Q1*E33*M29</f>
        <v>8000000</v>
      </c>
      <c r="N33" s="558"/>
      <c r="O33" s="520"/>
      <c r="P33" s="520"/>
      <c r="Q33" s="559"/>
    </row>
    <row r="34" spans="1:17" ht="20.100000000000001" hidden="1" customHeight="1" outlineLevel="1">
      <c r="A34" s="17">
        <v>3.3</v>
      </c>
      <c r="B34" s="553" t="s">
        <v>364</v>
      </c>
      <c r="C34" s="521"/>
      <c r="D34" s="20" t="s">
        <v>365</v>
      </c>
      <c r="E34" s="20">
        <v>1</v>
      </c>
      <c r="F34" s="17" t="s">
        <v>361</v>
      </c>
      <c r="G34" s="21">
        <f>Q1*E34*G29</f>
        <v>5000000</v>
      </c>
      <c r="H34" s="21">
        <f>Q1*E34*H29</f>
        <v>5500000</v>
      </c>
      <c r="I34" s="21">
        <f>Q1*E34*I29</f>
        <v>6000000</v>
      </c>
      <c r="J34" s="21">
        <f>Q1*E34*J29</f>
        <v>6500000</v>
      </c>
      <c r="K34" s="21">
        <f>Q1*E34*K29</f>
        <v>7000000</v>
      </c>
      <c r="L34" s="21">
        <f>Q1*E34*L29</f>
        <v>7500000</v>
      </c>
      <c r="M34" s="21">
        <f>Q1*E34*M29</f>
        <v>8000000</v>
      </c>
      <c r="N34" s="558"/>
      <c r="O34" s="520"/>
      <c r="P34" s="520"/>
      <c r="Q34" s="559"/>
    </row>
    <row r="35" spans="1:17" ht="20.100000000000001" hidden="1" customHeight="1" outlineLevel="1">
      <c r="A35" s="20">
        <v>3.4</v>
      </c>
      <c r="B35" s="553" t="s">
        <v>366</v>
      </c>
      <c r="C35" s="521"/>
      <c r="D35" s="20" t="s">
        <v>367</v>
      </c>
      <c r="E35" s="20">
        <v>1</v>
      </c>
      <c r="F35" s="17" t="s">
        <v>361</v>
      </c>
      <c r="G35" s="21">
        <f>Q1*E35*G29</f>
        <v>5000000</v>
      </c>
      <c r="H35" s="21">
        <f>Q1*E35*H29</f>
        <v>5500000</v>
      </c>
      <c r="I35" s="21">
        <f>Q1*E35*I29</f>
        <v>6000000</v>
      </c>
      <c r="J35" s="21">
        <f>Q1*E35*J29</f>
        <v>6500000</v>
      </c>
      <c r="K35" s="21">
        <f>Q1*E35*K29</f>
        <v>7000000</v>
      </c>
      <c r="L35" s="21">
        <f>Q1*E35*L29</f>
        <v>7500000</v>
      </c>
      <c r="M35" s="21">
        <f>Q1*E35*M29</f>
        <v>8000000</v>
      </c>
      <c r="N35" s="558"/>
      <c r="O35" s="520"/>
      <c r="P35" s="520"/>
      <c r="Q35" s="559"/>
    </row>
    <row r="36" spans="1:17" ht="20.100000000000001" hidden="1" customHeight="1" outlineLevel="1">
      <c r="A36" s="17">
        <v>3.5</v>
      </c>
      <c r="B36" s="553" t="s">
        <v>368</v>
      </c>
      <c r="C36" s="521"/>
      <c r="D36" s="20" t="s">
        <v>369</v>
      </c>
      <c r="E36" s="20">
        <v>1</v>
      </c>
      <c r="F36" s="17" t="s">
        <v>361</v>
      </c>
      <c r="G36" s="21">
        <f>Q1*E36*G29</f>
        <v>5000000</v>
      </c>
      <c r="H36" s="21">
        <f>Q1*E36*H29</f>
        <v>5500000</v>
      </c>
      <c r="I36" s="21">
        <f>Q1*E36*I29</f>
        <v>6000000</v>
      </c>
      <c r="J36" s="21">
        <f>Q1*E36*J29</f>
        <v>6500000</v>
      </c>
      <c r="K36" s="21">
        <f>Q1*E36*K29</f>
        <v>7000000</v>
      </c>
      <c r="L36" s="21">
        <f>Q1*E36*L29</f>
        <v>7500000</v>
      </c>
      <c r="M36" s="21">
        <f>E36*M29*Q1</f>
        <v>8000000</v>
      </c>
      <c r="N36" s="558"/>
      <c r="O36" s="520"/>
      <c r="P36" s="520"/>
      <c r="Q36" s="559"/>
    </row>
    <row r="37" spans="1:17" ht="20.100000000000001" hidden="1" customHeight="1" outlineLevel="1">
      <c r="A37" s="20">
        <v>3.6</v>
      </c>
      <c r="B37" s="553" t="s">
        <v>370</v>
      </c>
      <c r="C37" s="521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63"/>
      <c r="O37" s="520"/>
      <c r="P37" s="520"/>
      <c r="Q37" s="559"/>
    </row>
    <row r="38" spans="1:17" ht="20.100000000000001" hidden="1" customHeight="1" outlineLevel="1">
      <c r="A38" s="19"/>
      <c r="B38" s="553" t="s">
        <v>371</v>
      </c>
      <c r="C38" s="521"/>
      <c r="D38" s="20"/>
      <c r="E38" s="20"/>
      <c r="F38" s="20"/>
      <c r="G38" s="21">
        <f t="shared" ref="G38:M38" si="2">SUM(G32:G37)</f>
        <v>28000000</v>
      </c>
      <c r="H38" s="21">
        <f t="shared" si="2"/>
        <v>30800000</v>
      </c>
      <c r="I38" s="21">
        <f t="shared" si="2"/>
        <v>33600000</v>
      </c>
      <c r="J38" s="21">
        <f t="shared" si="2"/>
        <v>36400000</v>
      </c>
      <c r="K38" s="21">
        <f t="shared" si="2"/>
        <v>39200000</v>
      </c>
      <c r="L38" s="21">
        <f t="shared" si="2"/>
        <v>42000000</v>
      </c>
      <c r="M38" s="21">
        <f t="shared" si="2"/>
        <v>44800000</v>
      </c>
      <c r="N38" s="595"/>
      <c r="O38" s="520"/>
      <c r="P38" s="520"/>
      <c r="Q38" s="520"/>
    </row>
    <row r="39" spans="1:17" ht="20.100000000000001" hidden="1" customHeight="1" outlineLevel="1">
      <c r="A39" s="22"/>
      <c r="B39" s="579" t="s">
        <v>372</v>
      </c>
      <c r="C39" s="580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558"/>
      <c r="O39" s="520"/>
      <c r="P39" s="520"/>
      <c r="Q39" s="559"/>
    </row>
    <row r="40" spans="1:17" ht="30" customHeight="1" collapsed="1">
      <c r="A40" s="15">
        <v>2</v>
      </c>
      <c r="B40" s="588" t="s">
        <v>376</v>
      </c>
      <c r="C40" s="526"/>
      <c r="D40" s="526"/>
      <c r="E40" s="526"/>
      <c r="F40" s="526"/>
      <c r="G40" s="526"/>
      <c r="H40" s="526"/>
      <c r="I40" s="526"/>
      <c r="J40" s="526"/>
      <c r="K40" s="526"/>
      <c r="L40" s="526"/>
      <c r="M40" s="526"/>
      <c r="N40" s="526"/>
      <c r="O40" s="526"/>
      <c r="P40" s="526"/>
      <c r="Q40" s="527"/>
    </row>
    <row r="41" spans="1:17" ht="20.100000000000001" hidden="1" customHeight="1" outlineLevel="1">
      <c r="A41" s="554" t="s">
        <v>159</v>
      </c>
      <c r="B41" s="587" t="s">
        <v>347</v>
      </c>
      <c r="C41" s="565"/>
      <c r="D41" s="554" t="s">
        <v>348</v>
      </c>
      <c r="E41" s="554" t="s">
        <v>349</v>
      </c>
      <c r="F41" s="15" t="s">
        <v>350</v>
      </c>
      <c r="G41" s="15">
        <v>0.5</v>
      </c>
      <c r="H41" s="15">
        <v>0.55000000000000004</v>
      </c>
      <c r="I41" s="15">
        <v>0.6</v>
      </c>
      <c r="J41" s="15">
        <v>0.65</v>
      </c>
      <c r="K41" s="15">
        <v>0.7</v>
      </c>
      <c r="L41" s="15">
        <v>0.75</v>
      </c>
      <c r="M41" s="15">
        <v>0.8</v>
      </c>
      <c r="N41" s="554" t="s">
        <v>166</v>
      </c>
      <c r="O41" s="564"/>
      <c r="P41" s="564"/>
      <c r="Q41" s="565"/>
    </row>
    <row r="42" spans="1:17" ht="20.100000000000001" hidden="1" customHeight="1" outlineLevel="1">
      <c r="A42" s="561"/>
      <c r="B42" s="566"/>
      <c r="C42" s="568"/>
      <c r="D42" s="561"/>
      <c r="E42" s="561"/>
      <c r="F42" s="554" t="s">
        <v>351</v>
      </c>
      <c r="G42" s="554" t="s">
        <v>352</v>
      </c>
      <c r="H42" s="554" t="s">
        <v>353</v>
      </c>
      <c r="I42" s="554" t="s">
        <v>354</v>
      </c>
      <c r="J42" s="554" t="s">
        <v>355</v>
      </c>
      <c r="K42" s="554" t="s">
        <v>356</v>
      </c>
      <c r="L42" s="554" t="s">
        <v>357</v>
      </c>
      <c r="M42" s="554" t="s">
        <v>358</v>
      </c>
      <c r="N42" s="566"/>
      <c r="O42" s="567"/>
      <c r="P42" s="567"/>
      <c r="Q42" s="568"/>
    </row>
    <row r="43" spans="1:17" ht="20.100000000000001" hidden="1" customHeight="1" outlineLevel="1">
      <c r="A43" s="529"/>
      <c r="B43" s="569"/>
      <c r="C43" s="571"/>
      <c r="D43" s="529"/>
      <c r="E43" s="529"/>
      <c r="F43" s="529"/>
      <c r="G43" s="529"/>
      <c r="H43" s="529"/>
      <c r="I43" s="529"/>
      <c r="J43" s="529"/>
      <c r="K43" s="529"/>
      <c r="L43" s="529"/>
      <c r="M43" s="529"/>
      <c r="N43" s="569"/>
      <c r="O43" s="570"/>
      <c r="P43" s="570"/>
      <c r="Q43" s="571"/>
    </row>
    <row r="44" spans="1:17" ht="20.100000000000001" hidden="1" customHeight="1" outlineLevel="1">
      <c r="A44" s="16">
        <v>4.0999999999999996</v>
      </c>
      <c r="B44" s="560" t="s">
        <v>359</v>
      </c>
      <c r="C44" s="524"/>
      <c r="D44" s="17" t="s">
        <v>360</v>
      </c>
      <c r="E44" s="17">
        <v>1.6</v>
      </c>
      <c r="F44" s="17" t="s">
        <v>361</v>
      </c>
      <c r="G44" s="18">
        <f>Q1*E44*G41</f>
        <v>8000000</v>
      </c>
      <c r="H44" s="18">
        <f>Q1*E44*H41</f>
        <v>8800000</v>
      </c>
      <c r="I44" s="18">
        <f>Q1*E44*I41</f>
        <v>9600000</v>
      </c>
      <c r="J44" s="18">
        <f>Q1*E44*J41</f>
        <v>10400000</v>
      </c>
      <c r="K44" s="18">
        <f>Q1*E44*K41</f>
        <v>11200000</v>
      </c>
      <c r="L44" s="18">
        <f>Q1*E44*L41</f>
        <v>12000000</v>
      </c>
      <c r="M44" s="18">
        <f>Q1*E44*M41</f>
        <v>12800000</v>
      </c>
      <c r="N44" s="583"/>
      <c r="O44" s="584"/>
      <c r="P44" s="584"/>
      <c r="Q44" s="585"/>
    </row>
    <row r="45" spans="1:17" ht="20.100000000000001" hidden="1" customHeight="1" outlineLevel="1">
      <c r="A45" s="19">
        <v>4.2</v>
      </c>
      <c r="B45" s="553" t="s">
        <v>362</v>
      </c>
      <c r="C45" s="521"/>
      <c r="D45" s="20" t="s">
        <v>363</v>
      </c>
      <c r="E45" s="20">
        <v>0.8</v>
      </c>
      <c r="F45" s="17" t="s">
        <v>361</v>
      </c>
      <c r="G45" s="21">
        <f>Q1*E45*G41</f>
        <v>4000000</v>
      </c>
      <c r="H45" s="21">
        <f>Q1*E45*H41</f>
        <v>4400000</v>
      </c>
      <c r="I45" s="21">
        <f>Q1*E45*I41</f>
        <v>4800000</v>
      </c>
      <c r="J45" s="21">
        <f>Q1*E45*J41</f>
        <v>5200000</v>
      </c>
      <c r="K45" s="21">
        <f>Q1*E45*K41</f>
        <v>5600000</v>
      </c>
      <c r="L45" s="21">
        <f>Q1*E45*L41</f>
        <v>6000000</v>
      </c>
      <c r="M45" s="21">
        <f>Q1*E45*M41</f>
        <v>6400000</v>
      </c>
      <c r="N45" s="558"/>
      <c r="O45" s="520"/>
      <c r="P45" s="520"/>
      <c r="Q45" s="559"/>
    </row>
    <row r="46" spans="1:17" ht="20.100000000000001" hidden="1" customHeight="1" outlineLevel="1">
      <c r="A46" s="16">
        <v>4.3</v>
      </c>
      <c r="B46" s="553" t="s">
        <v>364</v>
      </c>
      <c r="C46" s="521"/>
      <c r="D46" s="20" t="s">
        <v>365</v>
      </c>
      <c r="E46" s="20">
        <v>0.8</v>
      </c>
      <c r="F46" s="17" t="s">
        <v>361</v>
      </c>
      <c r="G46" s="21">
        <f>Q1*E46*G41</f>
        <v>4000000</v>
      </c>
      <c r="H46" s="21">
        <f>Q1*E46*H41</f>
        <v>4400000</v>
      </c>
      <c r="I46" s="21">
        <f>Q1*E46*I41</f>
        <v>4800000</v>
      </c>
      <c r="J46" s="21">
        <f>Q1*E46*J41</f>
        <v>5200000</v>
      </c>
      <c r="K46" s="21">
        <f>Q1*E46*K41</f>
        <v>5600000</v>
      </c>
      <c r="L46" s="21">
        <f>Q1*E46*L41</f>
        <v>6000000</v>
      </c>
      <c r="M46" s="21">
        <f>Q1*E46*M41</f>
        <v>6400000</v>
      </c>
      <c r="N46" s="558"/>
      <c r="O46" s="520"/>
      <c r="P46" s="520"/>
      <c r="Q46" s="559"/>
    </row>
    <row r="47" spans="1:17" ht="20.100000000000001" hidden="1" customHeight="1" outlineLevel="1">
      <c r="A47" s="19">
        <v>4.4000000000000004</v>
      </c>
      <c r="B47" s="553" t="s">
        <v>366</v>
      </c>
      <c r="C47" s="521"/>
      <c r="D47" s="20" t="s">
        <v>367</v>
      </c>
      <c r="E47" s="20">
        <v>0.8</v>
      </c>
      <c r="F47" s="17" t="s">
        <v>361</v>
      </c>
      <c r="G47" s="21">
        <f>Q1*E47*G41</f>
        <v>4000000</v>
      </c>
      <c r="H47" s="21">
        <f>Q1*E47*H41</f>
        <v>4400000</v>
      </c>
      <c r="I47" s="21">
        <f>Q1*E47*I41</f>
        <v>4800000</v>
      </c>
      <c r="J47" s="21">
        <f>Q1*E47*J41</f>
        <v>5200000</v>
      </c>
      <c r="K47" s="21">
        <f>Q1*E47*K41</f>
        <v>5600000</v>
      </c>
      <c r="L47" s="21">
        <f>Q1*E47*L41</f>
        <v>6000000</v>
      </c>
      <c r="M47" s="21">
        <f>Q1*E47*M41</f>
        <v>6400000</v>
      </c>
      <c r="N47" s="558"/>
      <c r="O47" s="520"/>
      <c r="P47" s="520"/>
      <c r="Q47" s="559"/>
    </row>
    <row r="48" spans="1:17" ht="20.100000000000001" hidden="1" customHeight="1" outlineLevel="1">
      <c r="A48" s="16">
        <v>4.5</v>
      </c>
      <c r="B48" s="553" t="s">
        <v>368</v>
      </c>
      <c r="C48" s="521"/>
      <c r="D48" s="20" t="s">
        <v>369</v>
      </c>
      <c r="E48" s="20">
        <v>0.8</v>
      </c>
      <c r="F48" s="17" t="s">
        <v>361</v>
      </c>
      <c r="G48" s="21">
        <f>Q1*E48*G41</f>
        <v>4000000</v>
      </c>
      <c r="H48" s="21">
        <f>Q1*E48*H41</f>
        <v>4400000</v>
      </c>
      <c r="I48" s="21">
        <f>Q1*E48*I41</f>
        <v>4800000</v>
      </c>
      <c r="J48" s="21">
        <f>Q1*E48*J41</f>
        <v>5200000</v>
      </c>
      <c r="K48" s="21">
        <f>Q1*E48*K41</f>
        <v>5600000</v>
      </c>
      <c r="L48" s="21">
        <f>Q1*E48*L41</f>
        <v>6000000</v>
      </c>
      <c r="M48" s="21">
        <f>E48*M41*Q1</f>
        <v>6400000.0000000009</v>
      </c>
      <c r="N48" s="558"/>
      <c r="O48" s="520"/>
      <c r="P48" s="520"/>
      <c r="Q48" s="559"/>
    </row>
    <row r="49" spans="1:17" ht="20.100000000000001" hidden="1" customHeight="1" outlineLevel="1">
      <c r="A49" s="19">
        <v>4.5999999999999996</v>
      </c>
      <c r="B49" s="553" t="s">
        <v>370</v>
      </c>
      <c r="C49" s="5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563"/>
      <c r="O49" s="520"/>
      <c r="P49" s="520"/>
      <c r="Q49" s="559"/>
    </row>
    <row r="50" spans="1:17" ht="20.100000000000001" hidden="1" customHeight="1" outlineLevel="1">
      <c r="A50" s="19"/>
      <c r="B50" s="553" t="s">
        <v>371</v>
      </c>
      <c r="C50" s="521"/>
      <c r="D50" s="20"/>
      <c r="E50" s="20"/>
      <c r="F50" s="20"/>
      <c r="G50" s="21">
        <f t="shared" ref="G50:M50" si="3">SUM(G44:G49)</f>
        <v>24000000</v>
      </c>
      <c r="H50" s="21">
        <f t="shared" si="3"/>
        <v>26400000</v>
      </c>
      <c r="I50" s="21">
        <f t="shared" si="3"/>
        <v>28800000</v>
      </c>
      <c r="J50" s="21">
        <f t="shared" si="3"/>
        <v>31200000</v>
      </c>
      <c r="K50" s="21">
        <f t="shared" si="3"/>
        <v>33600000</v>
      </c>
      <c r="L50" s="21">
        <f t="shared" si="3"/>
        <v>36000000</v>
      </c>
      <c r="M50" s="21">
        <f t="shared" si="3"/>
        <v>38400000</v>
      </c>
      <c r="N50" s="558"/>
      <c r="O50" s="520"/>
      <c r="P50" s="520"/>
      <c r="Q50" s="559"/>
    </row>
    <row r="51" spans="1:17" ht="20.100000000000001" hidden="1" customHeight="1" outlineLevel="1">
      <c r="A51" s="22"/>
      <c r="B51" s="579" t="s">
        <v>372</v>
      </c>
      <c r="C51" s="580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592"/>
      <c r="O51" s="586"/>
      <c r="P51" s="586"/>
      <c r="Q51" s="593"/>
    </row>
    <row r="52" spans="1:17" ht="30" customHeight="1" collapsed="1">
      <c r="A52" s="14" t="s">
        <v>188</v>
      </c>
      <c r="B52" s="588" t="s">
        <v>377</v>
      </c>
      <c r="C52" s="526"/>
      <c r="D52" s="526"/>
      <c r="E52" s="526"/>
      <c r="F52" s="526"/>
      <c r="G52" s="526"/>
      <c r="H52" s="526"/>
      <c r="I52" s="526"/>
      <c r="J52" s="526"/>
      <c r="K52" s="526"/>
      <c r="L52" s="526"/>
      <c r="M52" s="526"/>
      <c r="N52" s="526"/>
      <c r="O52" s="526"/>
      <c r="P52" s="526"/>
      <c r="Q52" s="527"/>
    </row>
    <row r="53" spans="1:17" ht="30" customHeight="1">
      <c r="A53" s="574" t="s">
        <v>378</v>
      </c>
      <c r="B53" s="526"/>
      <c r="C53" s="526"/>
      <c r="D53" s="526"/>
      <c r="E53" s="526"/>
      <c r="F53" s="526"/>
      <c r="G53" s="526"/>
      <c r="H53" s="526"/>
      <c r="I53" s="526"/>
      <c r="J53" s="526"/>
      <c r="K53" s="526"/>
      <c r="L53" s="526"/>
      <c r="M53" s="526"/>
      <c r="N53" s="526"/>
      <c r="O53" s="526"/>
      <c r="P53" s="526"/>
      <c r="Q53" s="527"/>
    </row>
    <row r="54" spans="1:17" ht="20.100000000000001" hidden="1" customHeight="1" outlineLevel="1">
      <c r="A54" s="554" t="s">
        <v>159</v>
      </c>
      <c r="B54" s="587" t="s">
        <v>347</v>
      </c>
      <c r="C54" s="565"/>
      <c r="D54" s="554" t="s">
        <v>348</v>
      </c>
      <c r="E54" s="554" t="s">
        <v>349</v>
      </c>
      <c r="F54" s="15" t="s">
        <v>350</v>
      </c>
      <c r="G54" s="15">
        <v>0.35</v>
      </c>
      <c r="H54" s="15">
        <v>0.36</v>
      </c>
      <c r="I54" s="15">
        <v>0.37</v>
      </c>
      <c r="J54" s="15">
        <v>0.38</v>
      </c>
      <c r="K54" s="15">
        <v>0.39</v>
      </c>
      <c r="L54" s="15">
        <v>0.4</v>
      </c>
      <c r="M54" s="15">
        <v>0.41</v>
      </c>
      <c r="N54" s="15">
        <v>0.42</v>
      </c>
      <c r="O54" s="15">
        <v>0.43</v>
      </c>
      <c r="P54" s="554" t="s">
        <v>166</v>
      </c>
      <c r="Q54" s="565"/>
    </row>
    <row r="55" spans="1:17" ht="20.100000000000001" hidden="1" customHeight="1" outlineLevel="1">
      <c r="A55" s="561"/>
      <c r="B55" s="566"/>
      <c r="C55" s="568"/>
      <c r="D55" s="561"/>
      <c r="E55" s="561"/>
      <c r="F55" s="554" t="s">
        <v>351</v>
      </c>
      <c r="G55" s="554" t="s">
        <v>352</v>
      </c>
      <c r="H55" s="554" t="s">
        <v>353</v>
      </c>
      <c r="I55" s="554" t="s">
        <v>354</v>
      </c>
      <c r="J55" s="554" t="s">
        <v>355</v>
      </c>
      <c r="K55" s="554" t="s">
        <v>356</v>
      </c>
      <c r="L55" s="554" t="s">
        <v>357</v>
      </c>
      <c r="M55" s="554" t="s">
        <v>358</v>
      </c>
      <c r="N55" s="554" t="s">
        <v>379</v>
      </c>
      <c r="O55" s="554" t="s">
        <v>380</v>
      </c>
      <c r="P55" s="566"/>
      <c r="Q55" s="568"/>
    </row>
    <row r="56" spans="1:17" ht="20.100000000000001" hidden="1" customHeight="1" outlineLevel="1">
      <c r="A56" s="529"/>
      <c r="B56" s="569"/>
      <c r="C56" s="571"/>
      <c r="D56" s="529"/>
      <c r="E56" s="529"/>
      <c r="F56" s="529"/>
      <c r="G56" s="529"/>
      <c r="H56" s="529"/>
      <c r="I56" s="529"/>
      <c r="J56" s="529"/>
      <c r="K56" s="529"/>
      <c r="L56" s="529"/>
      <c r="M56" s="529"/>
      <c r="N56" s="529"/>
      <c r="O56" s="529"/>
      <c r="P56" s="569"/>
      <c r="Q56" s="571"/>
    </row>
    <row r="57" spans="1:17" ht="20.100000000000001" hidden="1" customHeight="1" outlineLevel="1">
      <c r="A57" s="17">
        <v>5.0999999999999996</v>
      </c>
      <c r="B57" s="560" t="s">
        <v>359</v>
      </c>
      <c r="C57" s="524"/>
      <c r="D57" s="17" t="s">
        <v>360</v>
      </c>
      <c r="E57" s="17">
        <v>1.4</v>
      </c>
      <c r="F57" s="17" t="s">
        <v>361</v>
      </c>
      <c r="G57" s="18">
        <f>Q1*E57*G54</f>
        <v>4900000</v>
      </c>
      <c r="H57" s="18">
        <f>Q1*E57*H54</f>
        <v>5040000</v>
      </c>
      <c r="I57" s="18">
        <f>Q1*E57*I54</f>
        <v>5180000</v>
      </c>
      <c r="J57" s="18">
        <f>Q1*E57*J54</f>
        <v>5320000</v>
      </c>
      <c r="K57" s="18">
        <f>Q1*E57*K54</f>
        <v>5460000</v>
      </c>
      <c r="L57" s="18">
        <f>Q1*E57*L54</f>
        <v>5600000</v>
      </c>
      <c r="M57" s="18">
        <f>Q1*E57*M54</f>
        <v>5740000</v>
      </c>
      <c r="N57" s="18">
        <f>Q1*E57*N54</f>
        <v>5880000</v>
      </c>
      <c r="O57" s="18">
        <f>Q1*E57*O54</f>
        <v>6020000</v>
      </c>
      <c r="P57" s="572"/>
      <c r="Q57" s="573"/>
    </row>
    <row r="58" spans="1:17" ht="20.100000000000001" hidden="1" customHeight="1" outlineLevel="1">
      <c r="A58" s="20">
        <v>5.2</v>
      </c>
      <c r="B58" s="553" t="s">
        <v>362</v>
      </c>
      <c r="C58" s="521"/>
      <c r="D58" s="20" t="s">
        <v>363</v>
      </c>
      <c r="E58" s="20">
        <v>1</v>
      </c>
      <c r="F58" s="17" t="s">
        <v>361</v>
      </c>
      <c r="G58" s="21">
        <f>Q1*E58*G54</f>
        <v>3500000</v>
      </c>
      <c r="H58" s="21">
        <f>Q1*E58*H54</f>
        <v>3600000</v>
      </c>
      <c r="I58" s="21">
        <f>Q1*E58*I54</f>
        <v>3700000</v>
      </c>
      <c r="J58" s="21">
        <f>Q1*E58*J54</f>
        <v>3800000</v>
      </c>
      <c r="K58" s="21">
        <f>Q1*E58*K54</f>
        <v>3900000</v>
      </c>
      <c r="L58" s="21">
        <f>Q1*E58*L54</f>
        <v>4000000</v>
      </c>
      <c r="M58" s="21">
        <f>Q1*E58*M54</f>
        <v>4099999.9999999995</v>
      </c>
      <c r="N58" s="21">
        <f>Q1*E58*N54</f>
        <v>4200000</v>
      </c>
      <c r="O58" s="21">
        <f>E58*O54*Q1</f>
        <v>4300000</v>
      </c>
      <c r="P58" s="555"/>
      <c r="Q58" s="521"/>
    </row>
    <row r="59" spans="1:17" ht="20.100000000000001" hidden="1" customHeight="1" outlineLevel="1">
      <c r="A59" s="17">
        <v>5.3</v>
      </c>
      <c r="B59" s="553" t="s">
        <v>364</v>
      </c>
      <c r="C59" s="521"/>
      <c r="D59" s="20" t="s">
        <v>365</v>
      </c>
      <c r="E59" s="20">
        <v>1</v>
      </c>
      <c r="F59" s="17" t="s">
        <v>361</v>
      </c>
      <c r="G59" s="21">
        <f>Q1*E59*G54</f>
        <v>3500000</v>
      </c>
      <c r="H59" s="21">
        <f>Q1*E59*H54</f>
        <v>3600000</v>
      </c>
      <c r="I59" s="21">
        <f>Q1*E59*I54</f>
        <v>3700000</v>
      </c>
      <c r="J59" s="21">
        <f>Q1*E59*J54</f>
        <v>3800000</v>
      </c>
      <c r="K59" s="21">
        <f>Q1*E59*K54</f>
        <v>3900000</v>
      </c>
      <c r="L59" s="21">
        <f>Q1*E59*L54</f>
        <v>4000000</v>
      </c>
      <c r="M59" s="21">
        <f>Q1*E59*M54</f>
        <v>4099999.9999999995</v>
      </c>
      <c r="N59" s="21">
        <f>Q1*E59*N54</f>
        <v>4200000</v>
      </c>
      <c r="O59" s="21">
        <f>Q1*E59*O54</f>
        <v>4300000</v>
      </c>
      <c r="P59" s="555"/>
      <c r="Q59" s="521"/>
    </row>
    <row r="60" spans="1:17" ht="20.100000000000001" hidden="1" customHeight="1" outlineLevel="1">
      <c r="A60" s="20">
        <v>5.4</v>
      </c>
      <c r="B60" s="553" t="s">
        <v>366</v>
      </c>
      <c r="C60" s="521"/>
      <c r="D60" s="20" t="s">
        <v>367</v>
      </c>
      <c r="E60" s="20">
        <v>1</v>
      </c>
      <c r="F60" s="17" t="s">
        <v>361</v>
      </c>
      <c r="G60" s="21">
        <f>Q1*E60*G54</f>
        <v>3500000</v>
      </c>
      <c r="H60" s="21">
        <f>Q1*E60*H54</f>
        <v>3600000</v>
      </c>
      <c r="I60" s="21">
        <f>Q1*E60*I54</f>
        <v>3700000</v>
      </c>
      <c r="J60" s="21">
        <f>Q1*E60*J54</f>
        <v>3800000</v>
      </c>
      <c r="K60" s="21">
        <f>Q1*E60*K54</f>
        <v>3900000</v>
      </c>
      <c r="L60" s="21">
        <f>Q1*E60*L54</f>
        <v>4000000</v>
      </c>
      <c r="M60" s="21">
        <f>Q1*E60*M54</f>
        <v>4099999.9999999995</v>
      </c>
      <c r="N60" s="21">
        <f>Q1*E60*N54</f>
        <v>4200000</v>
      </c>
      <c r="O60" s="21">
        <f>Q1*E60*O54</f>
        <v>4300000</v>
      </c>
      <c r="P60" s="555"/>
      <c r="Q60" s="521"/>
    </row>
    <row r="61" spans="1:17" ht="20.100000000000001" hidden="1" customHeight="1" outlineLevel="1">
      <c r="A61" s="17">
        <v>5.5</v>
      </c>
      <c r="B61" s="553" t="s">
        <v>368</v>
      </c>
      <c r="C61" s="521"/>
      <c r="D61" s="20" t="s">
        <v>369</v>
      </c>
      <c r="E61" s="20">
        <v>1</v>
      </c>
      <c r="F61" s="17" t="s">
        <v>361</v>
      </c>
      <c r="G61" s="21">
        <f>Q1*E61*G54</f>
        <v>3500000</v>
      </c>
      <c r="H61" s="21">
        <f>Q1*E61*H54</f>
        <v>3600000</v>
      </c>
      <c r="I61" s="21">
        <f>Q1*E61*I54</f>
        <v>3700000</v>
      </c>
      <c r="J61" s="21">
        <f>Q1*E61*J54</f>
        <v>3800000</v>
      </c>
      <c r="K61" s="21">
        <f>Q1*E61*K54</f>
        <v>3900000</v>
      </c>
      <c r="L61" s="21">
        <f>Q1*E61*L54</f>
        <v>4000000</v>
      </c>
      <c r="M61" s="21">
        <f>Q1*E61*M54</f>
        <v>4099999.9999999995</v>
      </c>
      <c r="N61" s="21">
        <f>Q1*E61*N54</f>
        <v>4200000</v>
      </c>
      <c r="O61" s="21">
        <f>Q1*E61*O54</f>
        <v>4300000</v>
      </c>
      <c r="P61" s="555"/>
      <c r="Q61" s="521"/>
    </row>
    <row r="62" spans="1:17" ht="20.100000000000001" hidden="1" customHeight="1" outlineLevel="1">
      <c r="A62" s="20">
        <v>5.6</v>
      </c>
      <c r="B62" s="553" t="s">
        <v>370</v>
      </c>
      <c r="C62" s="521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555"/>
      <c r="Q62" s="521"/>
    </row>
    <row r="63" spans="1:17" ht="20.100000000000001" hidden="1" customHeight="1" outlineLevel="1">
      <c r="A63" s="20"/>
      <c r="B63" s="553" t="s">
        <v>371</v>
      </c>
      <c r="C63" s="521"/>
      <c r="D63" s="20"/>
      <c r="E63" s="20"/>
      <c r="F63" s="20"/>
      <c r="G63" s="21">
        <f t="shared" ref="G63:O63" si="4">SUM(G57:G62)</f>
        <v>18900000</v>
      </c>
      <c r="H63" s="21">
        <f t="shared" si="4"/>
        <v>19440000</v>
      </c>
      <c r="I63" s="21">
        <f t="shared" si="4"/>
        <v>19980000</v>
      </c>
      <c r="J63" s="21">
        <f t="shared" si="4"/>
        <v>20520000</v>
      </c>
      <c r="K63" s="21">
        <f t="shared" si="4"/>
        <v>21060000</v>
      </c>
      <c r="L63" s="21">
        <f t="shared" si="4"/>
        <v>21600000</v>
      </c>
      <c r="M63" s="21">
        <f t="shared" si="4"/>
        <v>22140000</v>
      </c>
      <c r="N63" s="21">
        <f t="shared" si="4"/>
        <v>22680000</v>
      </c>
      <c r="O63" s="21">
        <f t="shared" si="4"/>
        <v>23220000</v>
      </c>
      <c r="P63" s="555"/>
      <c r="Q63" s="521"/>
    </row>
    <row r="64" spans="1:17" ht="20.100000000000001" hidden="1" customHeight="1" outlineLevel="1">
      <c r="A64" s="24"/>
      <c r="B64" s="556" t="s">
        <v>372</v>
      </c>
      <c r="C64" s="557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579"/>
      <c r="Q64" s="580"/>
    </row>
    <row r="65" spans="1:17" ht="30" hidden="1" customHeight="1" outlineLevel="1">
      <c r="A65" s="552" t="s">
        <v>381</v>
      </c>
      <c r="B65" s="526"/>
      <c r="C65" s="526"/>
      <c r="D65" s="526"/>
      <c r="E65" s="526"/>
      <c r="F65" s="527"/>
      <c r="G65" s="552" t="s">
        <v>382</v>
      </c>
      <c r="H65" s="526"/>
      <c r="I65" s="527"/>
      <c r="J65" s="552" t="s">
        <v>383</v>
      </c>
      <c r="K65" s="526"/>
      <c r="L65" s="527"/>
      <c r="M65" s="552" t="s">
        <v>384</v>
      </c>
      <c r="N65" s="526"/>
      <c r="O65" s="527"/>
      <c r="P65" s="556"/>
      <c r="Q65" s="557"/>
    </row>
    <row r="66" spans="1:17" ht="30" customHeight="1" collapsed="1">
      <c r="A66" s="14" t="s">
        <v>204</v>
      </c>
      <c r="B66" s="588" t="s">
        <v>385</v>
      </c>
      <c r="C66" s="526"/>
      <c r="D66" s="526"/>
      <c r="E66" s="526"/>
      <c r="F66" s="526"/>
      <c r="G66" s="526"/>
      <c r="H66" s="526"/>
      <c r="I66" s="526"/>
      <c r="J66" s="526"/>
      <c r="K66" s="526"/>
      <c r="L66" s="526"/>
      <c r="M66" s="526"/>
      <c r="N66" s="526"/>
      <c r="O66" s="526"/>
      <c r="P66" s="526"/>
      <c r="Q66" s="527"/>
    </row>
    <row r="67" spans="1:17" ht="30" customHeight="1">
      <c r="A67" s="574" t="s">
        <v>386</v>
      </c>
      <c r="B67" s="526"/>
      <c r="C67" s="526"/>
      <c r="D67" s="526"/>
      <c r="E67" s="526"/>
      <c r="F67" s="526"/>
      <c r="G67" s="526"/>
      <c r="H67" s="526"/>
      <c r="I67" s="526"/>
      <c r="J67" s="526"/>
      <c r="K67" s="526"/>
      <c r="L67" s="526"/>
      <c r="M67" s="526"/>
      <c r="N67" s="526"/>
      <c r="O67" s="526"/>
      <c r="P67" s="526"/>
      <c r="Q67" s="527"/>
    </row>
    <row r="68" spans="1:17" ht="20.100000000000001" hidden="1" customHeight="1" outlineLevel="1">
      <c r="A68" s="554" t="s">
        <v>159</v>
      </c>
      <c r="B68" s="587" t="s">
        <v>347</v>
      </c>
      <c r="C68" s="565"/>
      <c r="D68" s="554" t="s">
        <v>348</v>
      </c>
      <c r="E68" s="554" t="s">
        <v>349</v>
      </c>
      <c r="F68" s="15" t="s">
        <v>350</v>
      </c>
      <c r="G68" s="15">
        <v>0.27</v>
      </c>
      <c r="H68" s="15">
        <v>0.28000000000000003</v>
      </c>
      <c r="I68" s="15">
        <v>0.28999999999999998</v>
      </c>
      <c r="J68" s="15">
        <v>0.3</v>
      </c>
      <c r="K68" s="15">
        <v>0.31</v>
      </c>
      <c r="L68" s="15">
        <v>0.32</v>
      </c>
      <c r="M68" s="15">
        <v>0.32</v>
      </c>
      <c r="N68" s="15">
        <v>0.33</v>
      </c>
      <c r="O68" s="15">
        <v>0.34</v>
      </c>
      <c r="P68" s="554" t="s">
        <v>166</v>
      </c>
      <c r="Q68" s="565"/>
    </row>
    <row r="69" spans="1:17" ht="20.100000000000001" hidden="1" customHeight="1" outlineLevel="1">
      <c r="A69" s="561"/>
      <c r="B69" s="566"/>
      <c r="C69" s="568"/>
      <c r="D69" s="561"/>
      <c r="E69" s="561"/>
      <c r="F69" s="554" t="s">
        <v>351</v>
      </c>
      <c r="G69" s="554" t="s">
        <v>352</v>
      </c>
      <c r="H69" s="554" t="s">
        <v>353</v>
      </c>
      <c r="I69" s="554" t="s">
        <v>354</v>
      </c>
      <c r="J69" s="554" t="s">
        <v>355</v>
      </c>
      <c r="K69" s="554" t="s">
        <v>356</v>
      </c>
      <c r="L69" s="554" t="s">
        <v>357</v>
      </c>
      <c r="M69" s="554" t="s">
        <v>358</v>
      </c>
      <c r="N69" s="554" t="s">
        <v>379</v>
      </c>
      <c r="O69" s="554" t="s">
        <v>380</v>
      </c>
      <c r="P69" s="566"/>
      <c r="Q69" s="568"/>
    </row>
    <row r="70" spans="1:17" ht="20.100000000000001" hidden="1" customHeight="1" outlineLevel="1">
      <c r="A70" s="529"/>
      <c r="B70" s="569"/>
      <c r="C70" s="571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69"/>
      <c r="Q70" s="571"/>
    </row>
    <row r="71" spans="1:17" ht="20.100000000000001" hidden="1" customHeight="1" outlineLevel="1">
      <c r="A71" s="17">
        <v>5.0999999999999996</v>
      </c>
      <c r="B71" s="560" t="s">
        <v>359</v>
      </c>
      <c r="C71" s="524"/>
      <c r="D71" s="17" t="s">
        <v>360</v>
      </c>
      <c r="E71" s="17">
        <v>1.2</v>
      </c>
      <c r="F71" s="17" t="s">
        <v>361</v>
      </c>
      <c r="G71" s="18">
        <f>Q1*E71*G68</f>
        <v>3240000</v>
      </c>
      <c r="H71" s="18">
        <f>Q1*E71*H68</f>
        <v>3360000.0000000005</v>
      </c>
      <c r="I71" s="18">
        <f>Q1*E71*I68</f>
        <v>3479999.9999999995</v>
      </c>
      <c r="J71" s="18">
        <f>Q1*E71*J68</f>
        <v>3600000</v>
      </c>
      <c r="K71" s="18">
        <f>Q1*E71*K68</f>
        <v>3720000</v>
      </c>
      <c r="L71" s="18">
        <f>Q1*E71*L68</f>
        <v>3840000</v>
      </c>
      <c r="M71" s="18">
        <f>Q1*E71*M68</f>
        <v>3840000</v>
      </c>
      <c r="N71" s="18">
        <f>Q1*E71*N68</f>
        <v>3960000</v>
      </c>
      <c r="O71" s="18">
        <f>Q1*E71*O68</f>
        <v>4080000.0000000005</v>
      </c>
      <c r="P71" s="598"/>
      <c r="Q71" s="524"/>
    </row>
    <row r="72" spans="1:17" ht="20.100000000000001" hidden="1" customHeight="1" outlineLevel="1">
      <c r="A72" s="20">
        <v>5.2</v>
      </c>
      <c r="B72" s="553" t="s">
        <v>362</v>
      </c>
      <c r="C72" s="521"/>
      <c r="D72" s="20" t="s">
        <v>363</v>
      </c>
      <c r="E72" s="20">
        <v>1</v>
      </c>
      <c r="F72" s="17" t="s">
        <v>361</v>
      </c>
      <c r="G72" s="21">
        <f>Q1*E72*G68</f>
        <v>2700000</v>
      </c>
      <c r="H72" s="21">
        <f>Q1*E72*H68</f>
        <v>2800000.0000000005</v>
      </c>
      <c r="I72" s="21">
        <f>Q1*E72*I68</f>
        <v>2900000</v>
      </c>
      <c r="J72" s="21">
        <f>Q1*E72*J68</f>
        <v>3000000</v>
      </c>
      <c r="K72" s="21">
        <f>Q1*E72*K68</f>
        <v>3100000</v>
      </c>
      <c r="L72" s="21">
        <f>Q1*E72*L68</f>
        <v>3200000</v>
      </c>
      <c r="M72" s="21">
        <f>Q1*E72*M68</f>
        <v>3200000</v>
      </c>
      <c r="N72" s="21">
        <f>Q1*E72*N68</f>
        <v>3300000</v>
      </c>
      <c r="O72" s="21">
        <f>E72*O68*Q1</f>
        <v>3400000.0000000005</v>
      </c>
      <c r="P72" s="555"/>
      <c r="Q72" s="521"/>
    </row>
    <row r="73" spans="1:17" ht="20.100000000000001" hidden="1" customHeight="1" outlineLevel="1">
      <c r="A73" s="17">
        <v>5.3</v>
      </c>
      <c r="B73" s="553" t="s">
        <v>364</v>
      </c>
      <c r="C73" s="521"/>
      <c r="D73" s="20" t="s">
        <v>365</v>
      </c>
      <c r="E73" s="20">
        <v>1</v>
      </c>
      <c r="F73" s="17" t="s">
        <v>361</v>
      </c>
      <c r="G73" s="21">
        <f>Q1*E73*G68</f>
        <v>2700000</v>
      </c>
      <c r="H73" s="21">
        <f>Q1*E73*H68</f>
        <v>2800000.0000000005</v>
      </c>
      <c r="I73" s="21">
        <f>Q1*E73*I68</f>
        <v>2900000</v>
      </c>
      <c r="J73" s="21">
        <f>Q1*E73*J68</f>
        <v>3000000</v>
      </c>
      <c r="K73" s="21">
        <f>Q1*E73*K68</f>
        <v>3100000</v>
      </c>
      <c r="L73" s="21">
        <f>Q1*E73*L68</f>
        <v>3200000</v>
      </c>
      <c r="M73" s="21">
        <f>Q1*E73*M68</f>
        <v>3200000</v>
      </c>
      <c r="N73" s="21">
        <f>Q1*E73*N68</f>
        <v>3300000</v>
      </c>
      <c r="O73" s="21">
        <f>Q1*E73*O68</f>
        <v>3400000.0000000005</v>
      </c>
      <c r="P73" s="555"/>
      <c r="Q73" s="521"/>
    </row>
    <row r="74" spans="1:17" ht="20.100000000000001" hidden="1" customHeight="1" outlineLevel="1">
      <c r="A74" s="20">
        <v>5.4</v>
      </c>
      <c r="B74" s="553" t="s">
        <v>366</v>
      </c>
      <c r="C74" s="521"/>
      <c r="D74" s="20" t="s">
        <v>367</v>
      </c>
      <c r="E74" s="20">
        <v>1</v>
      </c>
      <c r="F74" s="17" t="s">
        <v>361</v>
      </c>
      <c r="G74" s="21">
        <f>Q1*E74*G68</f>
        <v>2700000</v>
      </c>
      <c r="H74" s="21">
        <f>Q1*E74*H68</f>
        <v>2800000.0000000005</v>
      </c>
      <c r="I74" s="21">
        <f>Q1*E74*I68</f>
        <v>2900000</v>
      </c>
      <c r="J74" s="21">
        <f>Q1*E74*J68</f>
        <v>3000000</v>
      </c>
      <c r="K74" s="21">
        <f>Q1*E74*K68</f>
        <v>3100000</v>
      </c>
      <c r="L74" s="21">
        <f>Q1*E74*L68</f>
        <v>3200000</v>
      </c>
      <c r="M74" s="21">
        <f>Q1*E74*M68</f>
        <v>3200000</v>
      </c>
      <c r="N74" s="21">
        <f>Q1*E74*N68</f>
        <v>3300000</v>
      </c>
      <c r="O74" s="21">
        <f>Q1*E74*O68</f>
        <v>3400000.0000000005</v>
      </c>
      <c r="P74" s="555"/>
      <c r="Q74" s="521"/>
    </row>
    <row r="75" spans="1:17" ht="20.100000000000001" hidden="1" customHeight="1" outlineLevel="1">
      <c r="A75" s="17">
        <v>5.5</v>
      </c>
      <c r="B75" s="553" t="s">
        <v>368</v>
      </c>
      <c r="C75" s="521"/>
      <c r="D75" s="20" t="s">
        <v>369</v>
      </c>
      <c r="E75" s="20">
        <v>1</v>
      </c>
      <c r="F75" s="17" t="s">
        <v>361</v>
      </c>
      <c r="G75" s="21">
        <f>Q1*E75*G68</f>
        <v>2700000</v>
      </c>
      <c r="H75" s="21">
        <f>Q1*E75*H68</f>
        <v>2800000.0000000005</v>
      </c>
      <c r="I75" s="21">
        <f>Q1*E75*I68</f>
        <v>2900000</v>
      </c>
      <c r="J75" s="21">
        <f>Q1*E75*J68</f>
        <v>3000000</v>
      </c>
      <c r="K75" s="21">
        <f>Q1*E75*K68</f>
        <v>3100000</v>
      </c>
      <c r="L75" s="21">
        <f>Q1*E75*L68</f>
        <v>3200000</v>
      </c>
      <c r="M75" s="21">
        <f>Q1*E75*M68</f>
        <v>3200000</v>
      </c>
      <c r="N75" s="21">
        <f>Q1*E75*N68</f>
        <v>3300000</v>
      </c>
      <c r="O75" s="21">
        <f>Q1*E75*O68</f>
        <v>3400000.0000000005</v>
      </c>
      <c r="P75" s="555"/>
      <c r="Q75" s="521"/>
    </row>
    <row r="76" spans="1:17" ht="20.100000000000001" hidden="1" customHeight="1" outlineLevel="1">
      <c r="A76" s="20">
        <v>5.6</v>
      </c>
      <c r="B76" s="553" t="s">
        <v>370</v>
      </c>
      <c r="C76" s="521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555"/>
      <c r="Q76" s="521"/>
    </row>
    <row r="77" spans="1:17" ht="20.100000000000001" hidden="1" customHeight="1" outlineLevel="1">
      <c r="A77" s="20"/>
      <c r="B77" s="553" t="s">
        <v>371</v>
      </c>
      <c r="C77" s="521"/>
      <c r="D77" s="20"/>
      <c r="E77" s="20"/>
      <c r="F77" s="20"/>
      <c r="G77" s="21">
        <f t="shared" ref="G77:O77" si="5">SUM(G71:G76)</f>
        <v>14040000</v>
      </c>
      <c r="H77" s="21">
        <f t="shared" si="5"/>
        <v>14560000.000000002</v>
      </c>
      <c r="I77" s="21">
        <f t="shared" si="5"/>
        <v>15080000</v>
      </c>
      <c r="J77" s="21">
        <f t="shared" si="5"/>
        <v>15600000</v>
      </c>
      <c r="K77" s="21">
        <f t="shared" si="5"/>
        <v>16120000</v>
      </c>
      <c r="L77" s="21">
        <f t="shared" si="5"/>
        <v>16640000</v>
      </c>
      <c r="M77" s="21">
        <f t="shared" si="5"/>
        <v>16640000</v>
      </c>
      <c r="N77" s="21">
        <f t="shared" si="5"/>
        <v>17160000</v>
      </c>
      <c r="O77" s="21">
        <f t="shared" si="5"/>
        <v>17680000.000000004</v>
      </c>
      <c r="P77" s="555"/>
      <c r="Q77" s="521"/>
    </row>
    <row r="78" spans="1:17" ht="20.100000000000001" hidden="1" customHeight="1" outlineLevel="1">
      <c r="A78" s="24"/>
      <c r="B78" s="556" t="s">
        <v>372</v>
      </c>
      <c r="C78" s="557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556"/>
      <c r="Q78" s="557"/>
    </row>
    <row r="79" spans="1:17" ht="30" hidden="1" customHeight="1" outlineLevel="1">
      <c r="A79" s="552" t="s">
        <v>381</v>
      </c>
      <c r="B79" s="526"/>
      <c r="C79" s="526"/>
      <c r="D79" s="526"/>
      <c r="E79" s="526"/>
      <c r="F79" s="527"/>
      <c r="G79" s="552" t="s">
        <v>382</v>
      </c>
      <c r="H79" s="526"/>
      <c r="I79" s="527"/>
      <c r="J79" s="552" t="s">
        <v>383</v>
      </c>
      <c r="K79" s="526"/>
      <c r="L79" s="527"/>
      <c r="M79" s="552" t="s">
        <v>384</v>
      </c>
      <c r="N79" s="526"/>
      <c r="O79" s="527"/>
      <c r="P79" s="551"/>
      <c r="Q79" s="527"/>
    </row>
    <row r="80" spans="1:17" ht="30" customHeight="1" collapsed="1">
      <c r="A80" s="14" t="s">
        <v>233</v>
      </c>
      <c r="B80" s="588" t="s">
        <v>387</v>
      </c>
      <c r="C80" s="526"/>
      <c r="D80" s="526"/>
      <c r="E80" s="526"/>
      <c r="F80" s="526"/>
      <c r="G80" s="526"/>
      <c r="H80" s="526"/>
      <c r="I80" s="526"/>
      <c r="J80" s="526"/>
      <c r="K80" s="526"/>
      <c r="L80" s="526"/>
      <c r="M80" s="526"/>
      <c r="N80" s="526"/>
      <c r="O80" s="526"/>
      <c r="P80" s="526"/>
      <c r="Q80" s="527"/>
    </row>
    <row r="81" spans="1:17" ht="30" customHeight="1">
      <c r="A81" s="574" t="s">
        <v>388</v>
      </c>
      <c r="B81" s="526"/>
      <c r="C81" s="526"/>
      <c r="D81" s="526"/>
      <c r="E81" s="526"/>
      <c r="F81" s="526"/>
      <c r="G81" s="526"/>
      <c r="H81" s="526"/>
      <c r="I81" s="526"/>
      <c r="J81" s="526"/>
      <c r="K81" s="526"/>
      <c r="L81" s="526"/>
      <c r="M81" s="526"/>
      <c r="N81" s="526"/>
      <c r="O81" s="526"/>
      <c r="P81" s="526"/>
      <c r="Q81" s="527"/>
    </row>
    <row r="82" spans="1:17" ht="20.100000000000001" hidden="1" customHeight="1" outlineLevel="1">
      <c r="A82" s="554" t="s">
        <v>159</v>
      </c>
      <c r="B82" s="587" t="s">
        <v>347</v>
      </c>
      <c r="C82" s="565"/>
      <c r="D82" s="554" t="s">
        <v>348</v>
      </c>
      <c r="E82" s="554" t="s">
        <v>349</v>
      </c>
      <c r="F82" s="15" t="s">
        <v>350</v>
      </c>
      <c r="G82" s="15">
        <v>0.2</v>
      </c>
      <c r="H82" s="15">
        <v>0.21</v>
      </c>
      <c r="I82" s="15">
        <v>0.22</v>
      </c>
      <c r="J82" s="15">
        <v>0.23</v>
      </c>
      <c r="K82" s="15">
        <v>0.24</v>
      </c>
      <c r="L82" s="15">
        <v>0.25</v>
      </c>
      <c r="M82" s="15">
        <v>0.26</v>
      </c>
      <c r="N82" s="15">
        <v>0.27</v>
      </c>
      <c r="O82" s="15">
        <v>0.28000000000000003</v>
      </c>
      <c r="P82" s="554" t="s">
        <v>166</v>
      </c>
      <c r="Q82" s="565"/>
    </row>
    <row r="83" spans="1:17" ht="20.100000000000001" hidden="1" customHeight="1" outlineLevel="1">
      <c r="A83" s="561"/>
      <c r="B83" s="566"/>
      <c r="C83" s="568"/>
      <c r="D83" s="561"/>
      <c r="E83" s="561"/>
      <c r="F83" s="554" t="s">
        <v>351</v>
      </c>
      <c r="G83" s="554" t="s">
        <v>352</v>
      </c>
      <c r="H83" s="554" t="s">
        <v>353</v>
      </c>
      <c r="I83" s="554" t="s">
        <v>354</v>
      </c>
      <c r="J83" s="554" t="s">
        <v>355</v>
      </c>
      <c r="K83" s="554" t="s">
        <v>356</v>
      </c>
      <c r="L83" s="554" t="s">
        <v>357</v>
      </c>
      <c r="M83" s="554" t="s">
        <v>358</v>
      </c>
      <c r="N83" s="554" t="s">
        <v>379</v>
      </c>
      <c r="O83" s="554" t="s">
        <v>380</v>
      </c>
      <c r="P83" s="566"/>
      <c r="Q83" s="568"/>
    </row>
    <row r="84" spans="1:17" ht="20.100000000000001" hidden="1" customHeight="1" outlineLevel="1">
      <c r="A84" s="529"/>
      <c r="B84" s="569"/>
      <c r="C84" s="571"/>
      <c r="D84" s="529"/>
      <c r="E84" s="529"/>
      <c r="F84" s="529"/>
      <c r="G84" s="529"/>
      <c r="H84" s="529"/>
      <c r="I84" s="529"/>
      <c r="J84" s="529"/>
      <c r="K84" s="529"/>
      <c r="L84" s="529"/>
      <c r="M84" s="529"/>
      <c r="N84" s="529"/>
      <c r="O84" s="529"/>
      <c r="P84" s="569"/>
      <c r="Q84" s="571"/>
    </row>
    <row r="85" spans="1:17" ht="20.100000000000001" hidden="1" customHeight="1" outlineLevel="1">
      <c r="A85" s="17">
        <v>5.0999999999999996</v>
      </c>
      <c r="B85" s="560" t="s">
        <v>359</v>
      </c>
      <c r="C85" s="524"/>
      <c r="D85" s="17" t="s">
        <v>360</v>
      </c>
      <c r="E85" s="17">
        <v>1</v>
      </c>
      <c r="F85" s="17" t="s">
        <v>361</v>
      </c>
      <c r="G85" s="18">
        <f>Q1*E85*G82</f>
        <v>2000000</v>
      </c>
      <c r="H85" s="18">
        <f>Q1*E85*H82</f>
        <v>2100000</v>
      </c>
      <c r="I85" s="18">
        <f>Q1*E85*I82</f>
        <v>2200000</v>
      </c>
      <c r="J85" s="18">
        <f>Q1*E85*J82</f>
        <v>2300000</v>
      </c>
      <c r="K85" s="18">
        <f>Q1*E85*K82</f>
        <v>2400000</v>
      </c>
      <c r="L85" s="18">
        <f>Q1*E85*L82</f>
        <v>2500000</v>
      </c>
      <c r="M85" s="18">
        <f>Q1*E85*M82</f>
        <v>2600000</v>
      </c>
      <c r="N85" s="18">
        <f>Q1*E85*N82</f>
        <v>2700000</v>
      </c>
      <c r="O85" s="18">
        <f>Q1*E85*O82</f>
        <v>2800000.0000000005</v>
      </c>
      <c r="P85" s="598"/>
      <c r="Q85" s="524"/>
    </row>
    <row r="86" spans="1:17" ht="20.100000000000001" hidden="1" customHeight="1" outlineLevel="1">
      <c r="A86" s="20">
        <v>5.2</v>
      </c>
      <c r="B86" s="553" t="s">
        <v>362</v>
      </c>
      <c r="C86" s="521"/>
      <c r="D86" s="20" t="s">
        <v>363</v>
      </c>
      <c r="E86" s="20">
        <v>1</v>
      </c>
      <c r="F86" s="17" t="s">
        <v>361</v>
      </c>
      <c r="G86" s="21">
        <f>Q1*E86*G82</f>
        <v>2000000</v>
      </c>
      <c r="H86" s="21">
        <f>Q1*E86*H82</f>
        <v>2100000</v>
      </c>
      <c r="I86" s="21">
        <f>Q1*E86*I82</f>
        <v>2200000</v>
      </c>
      <c r="J86" s="21">
        <f>Q1*E86*J82</f>
        <v>2300000</v>
      </c>
      <c r="K86" s="21">
        <f>Q1*E86*K82</f>
        <v>2400000</v>
      </c>
      <c r="L86" s="21">
        <f>Q1*E86*L82</f>
        <v>2500000</v>
      </c>
      <c r="M86" s="21">
        <f>Q1*E86*M82</f>
        <v>2600000</v>
      </c>
      <c r="N86" s="21">
        <f>Q1*E86*N82</f>
        <v>2700000</v>
      </c>
      <c r="O86" s="21">
        <f>E86*O82*Q1</f>
        <v>2800000.0000000005</v>
      </c>
      <c r="P86" s="555"/>
      <c r="Q86" s="521"/>
    </row>
    <row r="87" spans="1:17" ht="20.100000000000001" hidden="1" customHeight="1" outlineLevel="1">
      <c r="A87" s="17">
        <v>5.3</v>
      </c>
      <c r="B87" s="553" t="s">
        <v>364</v>
      </c>
      <c r="C87" s="521"/>
      <c r="D87" s="20" t="s">
        <v>365</v>
      </c>
      <c r="E87" s="20">
        <v>1</v>
      </c>
      <c r="F87" s="17" t="s">
        <v>361</v>
      </c>
      <c r="G87" s="21">
        <f>Q1*E87*G82</f>
        <v>2000000</v>
      </c>
      <c r="H87" s="21">
        <f>Q1*E87*H82</f>
        <v>2100000</v>
      </c>
      <c r="I87" s="21">
        <f>Q1*E87*I82</f>
        <v>2200000</v>
      </c>
      <c r="J87" s="21">
        <f>Q1*E87*J82</f>
        <v>2300000</v>
      </c>
      <c r="K87" s="21">
        <f>Q1*E87*K82</f>
        <v>2400000</v>
      </c>
      <c r="L87" s="21">
        <f>Q1*E87*L82</f>
        <v>2500000</v>
      </c>
      <c r="M87" s="21">
        <f>Q1*E87*M82</f>
        <v>2600000</v>
      </c>
      <c r="N87" s="21">
        <f>Q1*E87*N82</f>
        <v>2700000</v>
      </c>
      <c r="O87" s="21">
        <f>Q1*E87*O82</f>
        <v>2800000.0000000005</v>
      </c>
      <c r="P87" s="555"/>
      <c r="Q87" s="521"/>
    </row>
    <row r="88" spans="1:17" ht="20.100000000000001" hidden="1" customHeight="1" outlineLevel="1">
      <c r="A88" s="20">
        <v>5.4</v>
      </c>
      <c r="B88" s="553" t="s">
        <v>366</v>
      </c>
      <c r="C88" s="521"/>
      <c r="D88" s="20" t="s">
        <v>367</v>
      </c>
      <c r="E88" s="20">
        <v>1</v>
      </c>
      <c r="F88" s="17" t="s">
        <v>361</v>
      </c>
      <c r="G88" s="21">
        <f>Q1*E88*G82</f>
        <v>2000000</v>
      </c>
      <c r="H88" s="21">
        <f>Q1*E88*H82</f>
        <v>2100000</v>
      </c>
      <c r="I88" s="21">
        <f>Q1*E88*I82</f>
        <v>2200000</v>
      </c>
      <c r="J88" s="21">
        <f>Q1*E88*J82</f>
        <v>2300000</v>
      </c>
      <c r="K88" s="21">
        <f>Q1*E88*K82</f>
        <v>2400000</v>
      </c>
      <c r="L88" s="21">
        <f>Q1*E88*L82</f>
        <v>2500000</v>
      </c>
      <c r="M88" s="21">
        <f>Q1*E88*M82</f>
        <v>2600000</v>
      </c>
      <c r="N88" s="21">
        <f>Q1*E88*N82</f>
        <v>2700000</v>
      </c>
      <c r="O88" s="21">
        <f>Q1*E88*O82</f>
        <v>2800000.0000000005</v>
      </c>
      <c r="P88" s="555"/>
      <c r="Q88" s="521"/>
    </row>
    <row r="89" spans="1:17" ht="20.100000000000001" hidden="1" customHeight="1" outlineLevel="1">
      <c r="A89" s="17">
        <v>5.5</v>
      </c>
      <c r="B89" s="553" t="s">
        <v>368</v>
      </c>
      <c r="C89" s="521"/>
      <c r="D89" s="20" t="s">
        <v>369</v>
      </c>
      <c r="E89" s="20">
        <v>1</v>
      </c>
      <c r="F89" s="17" t="s">
        <v>361</v>
      </c>
      <c r="G89" s="21">
        <f>Q1*E89*G82</f>
        <v>2000000</v>
      </c>
      <c r="H89" s="21">
        <f>Q1*E89*H82</f>
        <v>2100000</v>
      </c>
      <c r="I89" s="21">
        <f>Q1*E89*I82</f>
        <v>2200000</v>
      </c>
      <c r="J89" s="21">
        <f>Q1*E89*J82</f>
        <v>2300000</v>
      </c>
      <c r="K89" s="21">
        <f>Q1*E89*K82</f>
        <v>2400000</v>
      </c>
      <c r="L89" s="21">
        <f>Q1*E89*L82</f>
        <v>2500000</v>
      </c>
      <c r="M89" s="21">
        <f>Q1*E89*M82</f>
        <v>2600000</v>
      </c>
      <c r="N89" s="21">
        <f>Q1*E89*N82</f>
        <v>2700000</v>
      </c>
      <c r="O89" s="21">
        <f>Q1*E89*O82</f>
        <v>2800000.0000000005</v>
      </c>
      <c r="P89" s="555"/>
      <c r="Q89" s="521"/>
    </row>
    <row r="90" spans="1:17" ht="20.100000000000001" hidden="1" customHeight="1" outlineLevel="1">
      <c r="A90" s="20">
        <v>5.6</v>
      </c>
      <c r="B90" s="553" t="s">
        <v>370</v>
      </c>
      <c r="C90" s="521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555"/>
      <c r="Q90" s="521"/>
    </row>
    <row r="91" spans="1:17" ht="20.100000000000001" hidden="1" customHeight="1" outlineLevel="1">
      <c r="A91" s="20"/>
      <c r="B91" s="553" t="s">
        <v>371</v>
      </c>
      <c r="C91" s="521"/>
      <c r="D91" s="20"/>
      <c r="E91" s="20"/>
      <c r="F91" s="20"/>
      <c r="G91" s="21">
        <f t="shared" ref="G91:O91" si="6">SUM(G85:G90)</f>
        <v>10000000</v>
      </c>
      <c r="H91" s="21">
        <f t="shared" si="6"/>
        <v>10500000</v>
      </c>
      <c r="I91" s="21">
        <f t="shared" si="6"/>
        <v>11000000</v>
      </c>
      <c r="J91" s="21">
        <f t="shared" si="6"/>
        <v>11500000</v>
      </c>
      <c r="K91" s="21">
        <f t="shared" si="6"/>
        <v>12000000</v>
      </c>
      <c r="L91" s="21">
        <f t="shared" si="6"/>
        <v>12500000</v>
      </c>
      <c r="M91" s="21">
        <f t="shared" si="6"/>
        <v>13000000</v>
      </c>
      <c r="N91" s="21">
        <f t="shared" si="6"/>
        <v>13500000</v>
      </c>
      <c r="O91" s="21">
        <f t="shared" si="6"/>
        <v>14000000.000000002</v>
      </c>
      <c r="P91" s="555"/>
      <c r="Q91" s="521"/>
    </row>
    <row r="92" spans="1:17" ht="20.100000000000001" hidden="1" customHeight="1" outlineLevel="1">
      <c r="A92" s="24"/>
      <c r="B92" s="556" t="s">
        <v>372</v>
      </c>
      <c r="C92" s="557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556"/>
      <c r="Q92" s="557"/>
    </row>
    <row r="93" spans="1:17" ht="30" hidden="1" customHeight="1" outlineLevel="1">
      <c r="A93" s="552" t="s">
        <v>381</v>
      </c>
      <c r="B93" s="526"/>
      <c r="C93" s="526"/>
      <c r="D93" s="526"/>
      <c r="E93" s="526"/>
      <c r="F93" s="527"/>
      <c r="G93" s="552" t="s">
        <v>382</v>
      </c>
      <c r="H93" s="526"/>
      <c r="I93" s="527"/>
      <c r="J93" s="552" t="s">
        <v>383</v>
      </c>
      <c r="K93" s="526"/>
      <c r="L93" s="527"/>
      <c r="M93" s="552" t="s">
        <v>384</v>
      </c>
      <c r="N93" s="526"/>
      <c r="O93" s="527"/>
      <c r="P93" s="551"/>
      <c r="Q93" s="527"/>
    </row>
    <row r="94" spans="1:17" ht="30" customHeight="1" collapsed="1">
      <c r="A94" s="599" t="s">
        <v>389</v>
      </c>
      <c r="B94" s="526"/>
      <c r="C94" s="526"/>
      <c r="D94" s="526"/>
      <c r="E94" s="526"/>
      <c r="F94" s="526"/>
      <c r="G94" s="526"/>
      <c r="H94" s="526"/>
      <c r="I94" s="526"/>
      <c r="J94" s="526"/>
      <c r="K94" s="526"/>
      <c r="L94" s="526"/>
      <c r="M94" s="526"/>
      <c r="N94" s="526"/>
      <c r="O94" s="526"/>
      <c r="P94" s="526"/>
      <c r="Q94" s="527"/>
    </row>
    <row r="95" spans="1:17" ht="30" customHeight="1">
      <c r="A95" s="591" t="s">
        <v>390</v>
      </c>
      <c r="B95" s="523"/>
      <c r="C95" s="523"/>
      <c r="D95" s="523"/>
      <c r="E95" s="523"/>
      <c r="F95" s="524"/>
      <c r="G95" s="589" t="s">
        <v>391</v>
      </c>
      <c r="H95" s="523"/>
      <c r="I95" s="523"/>
      <c r="J95" s="523"/>
      <c r="K95" s="523"/>
      <c r="L95" s="523"/>
      <c r="M95" s="523"/>
      <c r="N95" s="523"/>
      <c r="O95" s="523"/>
      <c r="P95" s="523"/>
      <c r="Q95" s="524"/>
    </row>
    <row r="96" spans="1:17" ht="30" customHeight="1">
      <c r="A96" s="562" t="s">
        <v>392</v>
      </c>
      <c r="B96" s="520"/>
      <c r="C96" s="520"/>
      <c r="D96" s="520"/>
      <c r="E96" s="520"/>
      <c r="F96" s="521"/>
      <c r="G96" s="597" t="s">
        <v>393</v>
      </c>
      <c r="H96" s="520"/>
      <c r="I96" s="520"/>
      <c r="J96" s="520"/>
      <c r="K96" s="520"/>
      <c r="L96" s="520"/>
      <c r="M96" s="520"/>
      <c r="N96" s="520"/>
      <c r="O96" s="520"/>
      <c r="P96" s="520"/>
      <c r="Q96" s="521"/>
    </row>
    <row r="97" spans="1:17" ht="30" customHeight="1">
      <c r="A97" s="596"/>
      <c r="B97" s="520"/>
      <c r="C97" s="520"/>
      <c r="D97" s="520"/>
      <c r="E97" s="520"/>
      <c r="F97" s="521"/>
      <c r="G97" s="555"/>
      <c r="H97" s="520"/>
      <c r="I97" s="520"/>
      <c r="J97" s="520"/>
      <c r="K97" s="520"/>
      <c r="L97" s="520"/>
      <c r="M97" s="520"/>
      <c r="N97" s="520"/>
      <c r="O97" s="520"/>
      <c r="P97" s="520"/>
      <c r="Q97" s="521"/>
    </row>
    <row r="98" spans="1:17" ht="30" customHeight="1">
      <c r="A98" s="596"/>
      <c r="B98" s="520"/>
      <c r="C98" s="520"/>
      <c r="D98" s="520"/>
      <c r="E98" s="520"/>
      <c r="F98" s="521"/>
      <c r="G98" s="555"/>
      <c r="H98" s="520"/>
      <c r="I98" s="520"/>
      <c r="J98" s="520"/>
      <c r="K98" s="520"/>
      <c r="L98" s="520"/>
      <c r="M98" s="520"/>
      <c r="N98" s="520"/>
      <c r="O98" s="520"/>
      <c r="P98" s="520"/>
      <c r="Q98" s="521"/>
    </row>
    <row r="99" spans="1:17" ht="30" customHeight="1">
      <c r="A99" s="590"/>
      <c r="B99" s="586"/>
      <c r="C99" s="586"/>
      <c r="D99" s="586"/>
      <c r="E99" s="586"/>
      <c r="F99" s="557"/>
      <c r="G99" s="556"/>
      <c r="H99" s="586"/>
      <c r="I99" s="586"/>
      <c r="J99" s="586"/>
      <c r="K99" s="586"/>
      <c r="L99" s="586"/>
      <c r="M99" s="586"/>
      <c r="N99" s="586"/>
      <c r="O99" s="586"/>
      <c r="P99" s="586"/>
      <c r="Q99" s="557"/>
    </row>
  </sheetData>
  <mergeCells count="250">
    <mergeCell ref="G96:Q96"/>
    <mergeCell ref="B40:Q40"/>
    <mergeCell ref="P76:Q76"/>
    <mergeCell ref="J69:J70"/>
    <mergeCell ref="P85:Q85"/>
    <mergeCell ref="L83:L84"/>
    <mergeCell ref="B22:C22"/>
    <mergeCell ref="B89:C89"/>
    <mergeCell ref="P71:Q71"/>
    <mergeCell ref="M83:M84"/>
    <mergeCell ref="B76:C76"/>
    <mergeCell ref="B85:C85"/>
    <mergeCell ref="M79:O79"/>
    <mergeCell ref="A65:F65"/>
    <mergeCell ref="P68:Q70"/>
    <mergeCell ref="B75:C75"/>
    <mergeCell ref="B62:C62"/>
    <mergeCell ref="B59:C59"/>
    <mergeCell ref="M65:O65"/>
    <mergeCell ref="A94:Q94"/>
    <mergeCell ref="P72:Q72"/>
    <mergeCell ref="L30:L31"/>
    <mergeCell ref="A29:A31"/>
    <mergeCell ref="N34:Q34"/>
    <mergeCell ref="F55:F56"/>
    <mergeCell ref="D68:D70"/>
    <mergeCell ref="H55:H56"/>
    <mergeCell ref="G98:Q98"/>
    <mergeCell ref="B12:C12"/>
    <mergeCell ref="F30:F31"/>
    <mergeCell ref="N49:Q49"/>
    <mergeCell ref="A97:F97"/>
    <mergeCell ref="P89:Q89"/>
    <mergeCell ref="P88:Q88"/>
    <mergeCell ref="P86:Q86"/>
    <mergeCell ref="A82:A84"/>
    <mergeCell ref="A54:A56"/>
    <mergeCell ref="B68:C70"/>
    <mergeCell ref="P78:Q78"/>
    <mergeCell ref="A98:F98"/>
    <mergeCell ref="A16:A18"/>
    <mergeCell ref="N39:Q39"/>
    <mergeCell ref="K83:K84"/>
    <mergeCell ref="P62:Q62"/>
    <mergeCell ref="N44:Q44"/>
    <mergeCell ref="A79:F79"/>
    <mergeCell ref="L5:L6"/>
    <mergeCell ref="B21:C21"/>
    <mergeCell ref="A68:A70"/>
    <mergeCell ref="B77:C77"/>
    <mergeCell ref="N36:Q36"/>
    <mergeCell ref="B86:C86"/>
    <mergeCell ref="P59:Q59"/>
    <mergeCell ref="J83:J84"/>
    <mergeCell ref="E16:E18"/>
    <mergeCell ref="J55:J56"/>
    <mergeCell ref="G65:I65"/>
    <mergeCell ref="L55:L56"/>
    <mergeCell ref="F42:F43"/>
    <mergeCell ref="B61:C61"/>
    <mergeCell ref="D29:D31"/>
    <mergeCell ref="N11:Q11"/>
    <mergeCell ref="B14:C14"/>
    <mergeCell ref="I17:I18"/>
    <mergeCell ref="N20:Q20"/>
    <mergeCell ref="G79:I79"/>
    <mergeCell ref="P61:Q61"/>
    <mergeCell ref="E82:E84"/>
    <mergeCell ref="A41:A43"/>
    <mergeCell ref="A4:A6"/>
    <mergeCell ref="B3:Q3"/>
    <mergeCell ref="B13:C13"/>
    <mergeCell ref="G5:G6"/>
    <mergeCell ref="B38:C38"/>
    <mergeCell ref="B78:C78"/>
    <mergeCell ref="N22:Q22"/>
    <mergeCell ref="B66:Q66"/>
    <mergeCell ref="M17:M18"/>
    <mergeCell ref="B29:C31"/>
    <mergeCell ref="B27:Q27"/>
    <mergeCell ref="I42:I43"/>
    <mergeCell ref="K42:K43"/>
    <mergeCell ref="N12:Q12"/>
    <mergeCell ref="N46:Q46"/>
    <mergeCell ref="F5:F6"/>
    <mergeCell ref="N24:Q24"/>
    <mergeCell ref="B15:Q15"/>
    <mergeCell ref="B11:C11"/>
    <mergeCell ref="H17:H18"/>
    <mergeCell ref="N41:Q43"/>
    <mergeCell ref="K17:K18"/>
    <mergeCell ref="B37:C37"/>
    <mergeCell ref="N16:Q18"/>
    <mergeCell ref="B52:Q52"/>
    <mergeCell ref="B2:Q2"/>
    <mergeCell ref="B49:C49"/>
    <mergeCell ref="P87:Q87"/>
    <mergeCell ref="B24:C24"/>
    <mergeCell ref="B64:C64"/>
    <mergeCell ref="H30:H31"/>
    <mergeCell ref="N14:Q14"/>
    <mergeCell ref="B33:C33"/>
    <mergeCell ref="N48:Q48"/>
    <mergeCell ref="B51:C51"/>
    <mergeCell ref="A81:Q81"/>
    <mergeCell ref="P58:Q58"/>
    <mergeCell ref="B32:C32"/>
    <mergeCell ref="D41:D43"/>
    <mergeCell ref="D16:D18"/>
    <mergeCell ref="N38:Q38"/>
    <mergeCell ref="B26:C26"/>
    <mergeCell ref="B63:C63"/>
    <mergeCell ref="K55:K56"/>
    <mergeCell ref="B35:C35"/>
    <mergeCell ref="P79:Q79"/>
    <mergeCell ref="D4:D6"/>
    <mergeCell ref="P73:Q73"/>
    <mergeCell ref="I30:I31"/>
    <mergeCell ref="A99:F99"/>
    <mergeCell ref="K30:K31"/>
    <mergeCell ref="A67:Q67"/>
    <mergeCell ref="B25:C25"/>
    <mergeCell ref="F83:F84"/>
    <mergeCell ref="B90:C90"/>
    <mergeCell ref="H83:H84"/>
    <mergeCell ref="P63:Q63"/>
    <mergeCell ref="J65:L65"/>
    <mergeCell ref="B41:C43"/>
    <mergeCell ref="A95:F95"/>
    <mergeCell ref="J79:L79"/>
    <mergeCell ref="P60:Q60"/>
    <mergeCell ref="B80:Q80"/>
    <mergeCell ref="G97:Q97"/>
    <mergeCell ref="N26:Q26"/>
    <mergeCell ref="H69:H70"/>
    <mergeCell ref="N35:Q35"/>
    <mergeCell ref="L42:L43"/>
    <mergeCell ref="N50:Q50"/>
    <mergeCell ref="N25:Q25"/>
    <mergeCell ref="P77:Q77"/>
    <mergeCell ref="B82:C84"/>
    <mergeCell ref="N51:Q51"/>
    <mergeCell ref="G99:Q99"/>
    <mergeCell ref="B54:C56"/>
    <mergeCell ref="K5:K6"/>
    <mergeCell ref="M5:M6"/>
    <mergeCell ref="B4:C6"/>
    <mergeCell ref="B28:Q28"/>
    <mergeCell ref="P64:Q64"/>
    <mergeCell ref="N13:Q13"/>
    <mergeCell ref="B7:C7"/>
    <mergeCell ref="B72:C72"/>
    <mergeCell ref="M55:M56"/>
    <mergeCell ref="G42:G43"/>
    <mergeCell ref="G93:I93"/>
    <mergeCell ref="N29:Q31"/>
    <mergeCell ref="M69:M70"/>
    <mergeCell ref="A93:F93"/>
    <mergeCell ref="P91:Q91"/>
    <mergeCell ref="E29:E31"/>
    <mergeCell ref="G95:Q95"/>
    <mergeCell ref="B9:C9"/>
    <mergeCell ref="P75:Q75"/>
    <mergeCell ref="N33:Q33"/>
    <mergeCell ref="P82:Q84"/>
    <mergeCell ref="B92:C92"/>
    <mergeCell ref="N32:Q32"/>
    <mergeCell ref="N7:Q7"/>
    <mergeCell ref="B88:C88"/>
    <mergeCell ref="G30:G31"/>
    <mergeCell ref="B44:C44"/>
    <mergeCell ref="L69:L70"/>
    <mergeCell ref="B19:C19"/>
    <mergeCell ref="B34:C34"/>
    <mergeCell ref="N69:N70"/>
    <mergeCell ref="N83:N84"/>
    <mergeCell ref="N23:Q23"/>
    <mergeCell ref="J17:J18"/>
    <mergeCell ref="L17:L18"/>
    <mergeCell ref="B23:C23"/>
    <mergeCell ref="B16:C18"/>
    <mergeCell ref="A1:F1"/>
    <mergeCell ref="B20:C20"/>
    <mergeCell ref="H42:H43"/>
    <mergeCell ref="B45:C45"/>
    <mergeCell ref="N55:N56"/>
    <mergeCell ref="J42:J43"/>
    <mergeCell ref="N10:Q10"/>
    <mergeCell ref="N19:Q19"/>
    <mergeCell ref="B47:C47"/>
    <mergeCell ref="G17:G18"/>
    <mergeCell ref="N9:Q9"/>
    <mergeCell ref="B46:C46"/>
    <mergeCell ref="E54:E56"/>
    <mergeCell ref="P54:Q56"/>
    <mergeCell ref="E41:E43"/>
    <mergeCell ref="B39:C39"/>
    <mergeCell ref="D54:D56"/>
    <mergeCell ref="N45:Q45"/>
    <mergeCell ref="B48:C48"/>
    <mergeCell ref="J30:J31"/>
    <mergeCell ref="N1:P1"/>
    <mergeCell ref="G1:M1"/>
    <mergeCell ref="F17:F18"/>
    <mergeCell ref="O55:O56"/>
    <mergeCell ref="A96:F96"/>
    <mergeCell ref="B8:C8"/>
    <mergeCell ref="I5:I6"/>
    <mergeCell ref="B73:C73"/>
    <mergeCell ref="B87:C87"/>
    <mergeCell ref="N37:Q37"/>
    <mergeCell ref="M30:M31"/>
    <mergeCell ref="N4:Q6"/>
    <mergeCell ref="E68:E70"/>
    <mergeCell ref="I55:I56"/>
    <mergeCell ref="M93:O93"/>
    <mergeCell ref="B10:C10"/>
    <mergeCell ref="E4:E6"/>
    <mergeCell ref="N21:Q21"/>
    <mergeCell ref="I69:I70"/>
    <mergeCell ref="K69:K70"/>
    <mergeCell ref="M42:M43"/>
    <mergeCell ref="P57:Q57"/>
    <mergeCell ref="B74:C74"/>
    <mergeCell ref="H5:H6"/>
    <mergeCell ref="N8:Q8"/>
    <mergeCell ref="J5:J6"/>
    <mergeCell ref="A53:Q53"/>
    <mergeCell ref="O69:O70"/>
    <mergeCell ref="P93:Q93"/>
    <mergeCell ref="J93:L93"/>
    <mergeCell ref="B36:C36"/>
    <mergeCell ref="F69:F70"/>
    <mergeCell ref="B50:C50"/>
    <mergeCell ref="P74:Q74"/>
    <mergeCell ref="P92:Q92"/>
    <mergeCell ref="G83:G84"/>
    <mergeCell ref="I83:I84"/>
    <mergeCell ref="P65:Q65"/>
    <mergeCell ref="N47:Q47"/>
    <mergeCell ref="G69:G70"/>
    <mergeCell ref="B71:C71"/>
    <mergeCell ref="O83:O84"/>
    <mergeCell ref="B58:C58"/>
    <mergeCell ref="P90:Q90"/>
    <mergeCell ref="D82:D84"/>
    <mergeCell ref="B60:C60"/>
    <mergeCell ref="G55:G56"/>
    <mergeCell ref="B57:C57"/>
    <mergeCell ref="B91:C9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BC_DongTien_2026</vt:lpstr>
      <vt:lpstr>BC_ThuChi_2026</vt:lpstr>
      <vt:lpstr>CP_VP-Overhead</vt:lpstr>
      <vt:lpstr>CP_NhanSu</vt:lpstr>
      <vt:lpstr>TongHopLuongThuong_NhanSu</vt:lpstr>
      <vt:lpstr>Draft_BangNgachBacLuong</vt:lpstr>
      <vt:lpstr>BC_DongTien_2026!Print_Area</vt:lpstr>
      <vt:lpstr>BC_ThuChi_2026!Print_Area</vt:lpstr>
      <vt:lpstr>CP_NhanSu!Print_Area</vt:lpstr>
      <vt:lpstr>'CP_VP-Overhead'!Print_Area</vt:lpstr>
      <vt:lpstr>Draft_BangNgachBacLuong!Print_Area</vt:lpstr>
      <vt:lpstr>TongHopLuongThuong_NhanSu!Print_Area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Eden Nie</cp:lastModifiedBy>
  <cp:lastPrinted>2026-01-16T09:36:03Z</cp:lastPrinted>
  <dcterms:created xsi:type="dcterms:W3CDTF">2021-07-10T01:56:24Z</dcterms:created>
  <dcterms:modified xsi:type="dcterms:W3CDTF">2026-08-19T10:34:38Z</dcterms:modified>
</cp:coreProperties>
</file>